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6df9a2a973111bfa/108_Hospital/2025/4. DA CĐS - 400t/4. Báo cáo/"/>
    </mc:Choice>
  </mc:AlternateContent>
  <xr:revisionPtr revIDLastSave="334" documentId="8_{7D5B299F-255F-4ECC-B3BD-0D8319D8C5B0}" xr6:coauthVersionLast="47" xr6:coauthVersionMax="47" xr10:uidLastSave="{9660BEB0-186E-4FD6-965F-F3FB084ED4C7}"/>
  <bookViews>
    <workbookView xWindow="-120" yWindow="-120" windowWidth="29040" windowHeight="15720" xr2:uid="{495F7AD8-A5E7-4A9C-A480-495B995F748E}"/>
  </bookViews>
  <sheets>
    <sheet name="Tiến độ thực hiện DA lần 4" sheetId="2" r:id="rId1"/>
    <sheet name="Tiến độ thực hiện DA lần 3" sheetId="1" r:id="rId2"/>
  </sheets>
  <definedNames>
    <definedName name="_xlnm.Print_Titles" localSheetId="1">'Tiến độ thực hiện DA lần 3'!$3:$6</definedName>
    <definedName name="_xlnm.Print_Titles" localSheetId="0">'Tiến độ thực hiện DA lần 4'!$3:$6</definedName>
    <definedName name="Project_Start" localSheetId="1">'Tiến độ thực hiện DA lần 3'!$C$3</definedName>
    <definedName name="Project_Start" localSheetId="0">'Tiến độ thực hiện DA lần 4'!$C$3</definedName>
    <definedName name="Project_Start">#REF!</definedName>
    <definedName name="Scrolling_Increment" localSheetId="1">'Tiến độ thực hiện DA lần 3'!$C$4</definedName>
    <definedName name="Scrolling_Increment" localSheetId="0">'Tiến độ thực hiện DA lần 4'!$C$4</definedName>
    <definedName name="Scrolling_Increment">#REF!</definedName>
    <definedName name="Today" localSheetId="1">TODAY()</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7" i="2" l="1"/>
  <c r="H127" i="2" s="1"/>
  <c r="F128" i="2" s="1"/>
  <c r="H128" i="2" s="1"/>
  <c r="F129" i="2" s="1"/>
  <c r="H129" i="2" s="1"/>
  <c r="F130" i="2" s="1"/>
  <c r="H130" i="2" s="1"/>
  <c r="F131" i="2" s="1"/>
  <c r="H131" i="2" s="1"/>
  <c r="H125" i="2"/>
  <c r="H124" i="2"/>
  <c r="F111" i="2"/>
  <c r="H111" i="2" s="1"/>
  <c r="H109" i="2"/>
  <c r="F89" i="2"/>
  <c r="H108" i="2"/>
  <c r="F102" i="2"/>
  <c r="H102" i="2" s="1"/>
  <c r="F103" i="2" s="1"/>
  <c r="H103" i="2" s="1"/>
  <c r="F104" i="2" s="1"/>
  <c r="H104" i="2" s="1"/>
  <c r="F105" i="2" s="1"/>
  <c r="H105" i="2" s="1"/>
  <c r="F106" i="2" s="1"/>
  <c r="H106" i="2" s="1"/>
  <c r="H100" i="2"/>
  <c r="H99" i="2"/>
  <c r="H92" i="2"/>
  <c r="H90" i="2"/>
  <c r="H91" i="2"/>
  <c r="H93" i="2"/>
  <c r="H94" i="2"/>
  <c r="H95" i="2"/>
  <c r="F96" i="2" s="1"/>
  <c r="H96" i="2" s="1"/>
  <c r="F97" i="2" s="1"/>
  <c r="H97" i="2" s="1"/>
  <c r="F98" i="2" s="1"/>
  <c r="H98" i="2" s="1"/>
  <c r="H89" i="2" s="1"/>
  <c r="F83" i="2"/>
  <c r="H77" i="2" s="1"/>
  <c r="H86" i="2"/>
  <c r="F87" i="2" s="1"/>
  <c r="H87" i="2" s="1"/>
  <c r="F85" i="2"/>
  <c r="H85" i="2" s="1"/>
  <c r="H84" i="2"/>
  <c r="F77" i="2"/>
  <c r="F75" i="2"/>
  <c r="H75" i="2" s="1"/>
  <c r="F73" i="2"/>
  <c r="F72" i="2"/>
  <c r="G72" i="2" s="1"/>
  <c r="G71" i="2"/>
  <c r="F67" i="2"/>
  <c r="H67" i="2" s="1"/>
  <c r="G62" i="2"/>
  <c r="G61" i="2"/>
  <c r="F59" i="2"/>
  <c r="H59" i="2" s="1"/>
  <c r="H58" i="2"/>
  <c r="H57" i="2"/>
  <c r="H56" i="2"/>
  <c r="F50" i="2"/>
  <c r="F49" i="2" s="1"/>
  <c r="G49" i="2" s="1"/>
  <c r="H48" i="2"/>
  <c r="H47" i="2"/>
  <c r="H46" i="2"/>
  <c r="H37" i="2"/>
  <c r="H36" i="2"/>
  <c r="H35" i="2"/>
  <c r="H34" i="2"/>
  <c r="H33" i="2"/>
  <c r="H32" i="2"/>
  <c r="J4" i="2"/>
  <c r="K4" i="2" s="1"/>
  <c r="G77" i="1"/>
  <c r="F83" i="1"/>
  <c r="H83" i="1" s="1"/>
  <c r="H77" i="1" s="1"/>
  <c r="F77" i="1"/>
  <c r="F81" i="1"/>
  <c r="H79" i="1"/>
  <c r="H80" i="1"/>
  <c r="H81" i="1"/>
  <c r="F82" i="1" s="1"/>
  <c r="H82" i="1" s="1"/>
  <c r="H78" i="1"/>
  <c r="F115" i="1"/>
  <c r="H115" i="1" s="1"/>
  <c r="F114" i="1"/>
  <c r="H114" i="1" s="1"/>
  <c r="H105" i="1"/>
  <c r="F75" i="1"/>
  <c r="H75" i="1" s="1"/>
  <c r="F73" i="1"/>
  <c r="F72" i="1"/>
  <c r="G72" i="1" s="1"/>
  <c r="G71" i="1"/>
  <c r="F67" i="1"/>
  <c r="H67" i="1" s="1"/>
  <c r="G62" i="1"/>
  <c r="G61" i="1"/>
  <c r="F59" i="1"/>
  <c r="H59" i="1" s="1"/>
  <c r="H58" i="1"/>
  <c r="H57" i="1"/>
  <c r="H56" i="1"/>
  <c r="F50" i="1"/>
  <c r="F52" i="1" s="1"/>
  <c r="H52" i="1" s="1"/>
  <c r="F49" i="1"/>
  <c r="G49" i="1" s="1"/>
  <c r="H48" i="1"/>
  <c r="H47" i="1"/>
  <c r="H46" i="1"/>
  <c r="H37" i="1"/>
  <c r="H36" i="1"/>
  <c r="H35" i="1"/>
  <c r="H34" i="1"/>
  <c r="H33" i="1"/>
  <c r="H32" i="1"/>
  <c r="J4" i="1"/>
  <c r="K4" i="1" s="1"/>
  <c r="F112" i="2" l="1"/>
  <c r="H112" i="2" s="1"/>
  <c r="F113" i="2" s="1"/>
  <c r="H113" i="2" s="1"/>
  <c r="F114" i="2" s="1"/>
  <c r="H114" i="2" s="1"/>
  <c r="F115" i="2" s="1"/>
  <c r="H115" i="2" s="1"/>
  <c r="F116" i="2" s="1"/>
  <c r="H116" i="2" s="1"/>
  <c r="F117" i="2" s="1"/>
  <c r="H117" i="2" s="1"/>
  <c r="F118" i="2" s="1"/>
  <c r="H118" i="2" s="1"/>
  <c r="F119" i="2" s="1"/>
  <c r="H119" i="2" s="1"/>
  <c r="F120" i="2" s="1"/>
  <c r="H120" i="2" s="1"/>
  <c r="F121" i="2" s="1"/>
  <c r="H121" i="2" s="1"/>
  <c r="F122" i="2" s="1"/>
  <c r="H122" i="2" s="1"/>
  <c r="G89" i="2"/>
  <c r="F107" i="2"/>
  <c r="H107" i="2" s="1"/>
  <c r="H50" i="2"/>
  <c r="F52" i="2"/>
  <c r="F54" i="2" s="1"/>
  <c r="H54" i="2" s="1"/>
  <c r="G77" i="2"/>
  <c r="L4" i="2"/>
  <c r="K6" i="2"/>
  <c r="F51" i="2"/>
  <c r="J3" i="2"/>
  <c r="J6" i="2"/>
  <c r="H50" i="1"/>
  <c r="F51" i="1"/>
  <c r="F53" i="1" s="1"/>
  <c r="F55" i="1" s="1"/>
  <c r="H55" i="1" s="1"/>
  <c r="L4" i="1"/>
  <c r="K6" i="1"/>
  <c r="J3" i="1"/>
  <c r="J6" i="1"/>
  <c r="F54" i="1"/>
  <c r="H54" i="1" s="1"/>
  <c r="F123" i="2" l="1"/>
  <c r="H123" i="2" s="1"/>
  <c r="F132" i="2" s="1"/>
  <c r="H132" i="2" s="1"/>
  <c r="F133" i="2"/>
  <c r="H133" i="2" s="1"/>
  <c r="F134" i="2" s="1"/>
  <c r="H134" i="2" s="1"/>
  <c r="F135" i="2" s="1"/>
  <c r="H135" i="2" s="1"/>
  <c r="F136" i="2" s="1"/>
  <c r="H136" i="2" s="1"/>
  <c r="F138" i="2" s="1"/>
  <c r="H138" i="2" s="1"/>
  <c r="F139" i="2" s="1"/>
  <c r="H139" i="2" s="1"/>
  <c r="F140" i="2" s="1"/>
  <c r="H140" i="2" s="1"/>
  <c r="H52" i="2"/>
  <c r="F53" i="2"/>
  <c r="H51" i="2"/>
  <c r="M4" i="2"/>
  <c r="L6" i="2"/>
  <c r="H53" i="1"/>
  <c r="H51" i="1"/>
  <c r="M4" i="1"/>
  <c r="L6" i="1"/>
  <c r="F86" i="1"/>
  <c r="H86" i="1" s="1"/>
  <c r="F87" i="1" s="1"/>
  <c r="H87" i="1" s="1"/>
  <c r="F88" i="1" s="1"/>
  <c r="H88" i="1" s="1"/>
  <c r="F89" i="1" s="1"/>
  <c r="H89" i="1" s="1"/>
  <c r="F90" i="1" s="1"/>
  <c r="H90" i="1" s="1"/>
  <c r="F91" i="1" s="1"/>
  <c r="H91" i="1" s="1"/>
  <c r="F92" i="1" s="1"/>
  <c r="H92" i="1" s="1"/>
  <c r="F93" i="1" s="1"/>
  <c r="H93" i="1" s="1"/>
  <c r="F95" i="1" s="1"/>
  <c r="H95" i="1" s="1"/>
  <c r="F96" i="1" s="1"/>
  <c r="H96" i="1" s="1"/>
  <c r="F97" i="1" s="1"/>
  <c r="H97" i="1" s="1"/>
  <c r="F98" i="1" s="1"/>
  <c r="F85" i="1"/>
  <c r="H85" i="1" s="1"/>
  <c r="H84" i="1"/>
  <c r="F141" i="2" l="1"/>
  <c r="F142" i="2"/>
  <c r="H53" i="2"/>
  <c r="F55" i="2"/>
  <c r="H55" i="2" s="1"/>
  <c r="M6" i="2"/>
  <c r="N4" i="2"/>
  <c r="F99" i="1"/>
  <c r="H99" i="1" s="1"/>
  <c r="H98" i="1"/>
  <c r="M6" i="1"/>
  <c r="N4" i="1"/>
  <c r="H142" i="2" l="1"/>
  <c r="F143" i="2"/>
  <c r="H143" i="2" s="1"/>
  <c r="F144" i="2" s="1"/>
  <c r="H144" i="2" s="1"/>
  <c r="F145" i="2" s="1"/>
  <c r="H145" i="2" s="1"/>
  <c r="F146" i="2" s="1"/>
  <c r="H146" i="2" s="1"/>
  <c r="F147" i="2" s="1"/>
  <c r="H147" i="2" s="1"/>
  <c r="F148" i="2" s="1"/>
  <c r="H148" i="2" s="1"/>
  <c r="F149" i="2" s="1"/>
  <c r="H149" i="2" s="1"/>
  <c r="F150" i="2" s="1"/>
  <c r="H150" i="2" s="1"/>
  <c r="F151" i="2" s="1"/>
  <c r="H151" i="2" s="1"/>
  <c r="F152" i="2" s="1"/>
  <c r="H152" i="2" s="1"/>
  <c r="F153" i="2" s="1"/>
  <c r="H153" i="2" s="1"/>
  <c r="F154" i="2" s="1"/>
  <c r="H154" i="2" s="1"/>
  <c r="F155" i="2" s="1"/>
  <c r="H155" i="2" s="1"/>
  <c r="O4" i="2"/>
  <c r="N6" i="2"/>
  <c r="O4" i="1"/>
  <c r="N6" i="1"/>
  <c r="F156" i="2" l="1"/>
  <c r="H156" i="2" s="1"/>
  <c r="F157" i="2" s="1"/>
  <c r="H157" i="2" s="1"/>
  <c r="F158" i="2" s="1"/>
  <c r="H158" i="2" s="1"/>
  <c r="F159" i="2" s="1"/>
  <c r="H159" i="2" s="1"/>
  <c r="F160" i="2" s="1"/>
  <c r="H160" i="2" s="1"/>
  <c r="F161" i="2" s="1"/>
  <c r="H161" i="2" s="1"/>
  <c r="H141" i="2"/>
  <c r="G141" i="2" s="1"/>
  <c r="P4" i="2"/>
  <c r="O6" i="2"/>
  <c r="P4" i="1"/>
  <c r="O6" i="1"/>
  <c r="F165" i="2" l="1"/>
  <c r="F166" i="2"/>
  <c r="H166" i="2" s="1"/>
  <c r="F164" i="2"/>
  <c r="H164" i="2" s="1"/>
  <c r="F162" i="2"/>
  <c r="H162" i="2" s="1"/>
  <c r="P6" i="2"/>
  <c r="Q4" i="2"/>
  <c r="Q4" i="1"/>
  <c r="P6" i="1"/>
  <c r="H165" i="2" l="1"/>
  <c r="Q3" i="2"/>
  <c r="R4" i="2"/>
  <c r="Q6" i="2"/>
  <c r="Q3" i="1"/>
  <c r="Q6" i="1"/>
  <c r="R4" i="1"/>
  <c r="S4" i="2" l="1"/>
  <c r="R6" i="2"/>
  <c r="R6" i="1"/>
  <c r="S4" i="1"/>
  <c r="T4" i="2" l="1"/>
  <c r="S6" i="2"/>
  <c r="S6" i="1"/>
  <c r="T4" i="1"/>
  <c r="U4" i="2" l="1"/>
  <c r="T6" i="2"/>
  <c r="U4" i="1"/>
  <c r="T6" i="1"/>
  <c r="U6" i="2" l="1"/>
  <c r="V4" i="2"/>
  <c r="U6" i="1"/>
  <c r="V4" i="1"/>
  <c r="W4" i="2" l="1"/>
  <c r="V6" i="2"/>
  <c r="W4" i="1"/>
  <c r="V6" i="1"/>
  <c r="X4" i="2" l="1"/>
  <c r="W6" i="2"/>
  <c r="W6" i="1"/>
  <c r="X4" i="1"/>
  <c r="X3" i="2" l="1"/>
  <c r="Y4" i="2"/>
  <c r="X6" i="2"/>
  <c r="X6" i="1"/>
  <c r="X3" i="1"/>
  <c r="Y4" i="1"/>
  <c r="Y6" i="2" l="1"/>
  <c r="Z4" i="2"/>
  <c r="Z4" i="1"/>
  <c r="Y6" i="1"/>
  <c r="AA4" i="2" l="1"/>
  <c r="Z6" i="2"/>
  <c r="AA4" i="1"/>
  <c r="Z6" i="1"/>
  <c r="AB4" i="2" l="1"/>
  <c r="AA6" i="2"/>
  <c r="AB4" i="1"/>
  <c r="AA6" i="1"/>
  <c r="AC4" i="2" l="1"/>
  <c r="AB6" i="2"/>
  <c r="AC4" i="1"/>
  <c r="AB6" i="1"/>
  <c r="AC6" i="2" l="1"/>
  <c r="AD4" i="2"/>
  <c r="AC6" i="1"/>
  <c r="AD4" i="1"/>
  <c r="AE4" i="2" l="1"/>
  <c r="AD6" i="2"/>
  <c r="AE4" i="1"/>
  <c r="AD6" i="1"/>
  <c r="AE3" i="2" l="1"/>
  <c r="AF4" i="2"/>
  <c r="AE6" i="2"/>
  <c r="AF4" i="1"/>
  <c r="AE6" i="1"/>
  <c r="AE3" i="1"/>
  <c r="AF6" i="2" l="1"/>
  <c r="AG4" i="2"/>
  <c r="AG4" i="1"/>
  <c r="AF6" i="1"/>
  <c r="AH4" i="2" l="1"/>
  <c r="AG6" i="2"/>
  <c r="AG6" i="1"/>
  <c r="AH4" i="1"/>
  <c r="AI4" i="2" l="1"/>
  <c r="AH6" i="2"/>
  <c r="AI4" i="1"/>
  <c r="AH6" i="1"/>
  <c r="AJ4" i="2" l="1"/>
  <c r="AI6" i="2"/>
  <c r="AJ4" i="1"/>
  <c r="AI6" i="1"/>
  <c r="AK4" i="2" l="1"/>
  <c r="AJ6" i="2"/>
  <c r="AK4" i="1"/>
  <c r="AJ6" i="1"/>
  <c r="AK6" i="2" l="1"/>
  <c r="AL4" i="2"/>
  <c r="AK6" i="1"/>
  <c r="AL4" i="1"/>
  <c r="AM4" i="2" l="1"/>
  <c r="AL6" i="2"/>
  <c r="AL3" i="2"/>
  <c r="AM4" i="1"/>
  <c r="AL3" i="1"/>
  <c r="AL6" i="1"/>
  <c r="AN4" i="2" l="1"/>
  <c r="AM6" i="2"/>
  <c r="AM6" i="1"/>
  <c r="AN4" i="1"/>
  <c r="AO4" i="2" l="1"/>
  <c r="AN6" i="2"/>
  <c r="AN6" i="1"/>
  <c r="AO4" i="1"/>
  <c r="AO6" i="2" l="1"/>
  <c r="AP4" i="2"/>
  <c r="AP4" i="1"/>
  <c r="AO6" i="1"/>
  <c r="AQ4" i="2" l="1"/>
  <c r="AP6" i="2"/>
  <c r="AQ4" i="1"/>
  <c r="AP6" i="1"/>
  <c r="AR4" i="2" l="1"/>
  <c r="AQ6" i="2"/>
  <c r="AQ6" i="1"/>
  <c r="AR4" i="1"/>
  <c r="AS4" i="2" l="1"/>
  <c r="AR6" i="2"/>
  <c r="AS4" i="1"/>
  <c r="AR6" i="1"/>
  <c r="AS6" i="2" l="1"/>
  <c r="AS3" i="2"/>
  <c r="AT4" i="2"/>
  <c r="AS3" i="1"/>
  <c r="AS6" i="1"/>
  <c r="AT4" i="1"/>
  <c r="AU4" i="2" l="1"/>
  <c r="AT6" i="2"/>
  <c r="AU4" i="1"/>
  <c r="AT6" i="1"/>
  <c r="AV4" i="2" l="1"/>
  <c r="AU6" i="2"/>
  <c r="AV4" i="1"/>
  <c r="AU6" i="1"/>
  <c r="AV6" i="2" l="1"/>
  <c r="AW4" i="2"/>
  <c r="AW4" i="1"/>
  <c r="AV6" i="1"/>
  <c r="AX4" i="2" l="1"/>
  <c r="AW6" i="2"/>
  <c r="AW6" i="1"/>
  <c r="AX4" i="1"/>
  <c r="AY4" i="2" l="1"/>
  <c r="AX6" i="2"/>
  <c r="AY4" i="1"/>
  <c r="AX6" i="1"/>
  <c r="AZ4" i="2" l="1"/>
  <c r="AY6" i="2"/>
  <c r="AZ4" i="1"/>
  <c r="AY6" i="1"/>
  <c r="BA4" i="2" l="1"/>
  <c r="AZ6" i="2"/>
  <c r="AZ3" i="2"/>
  <c r="AZ3" i="1"/>
  <c r="BA4" i="1"/>
  <c r="AZ6" i="1"/>
  <c r="BA6" i="2" l="1"/>
  <c r="BB4" i="2"/>
  <c r="BA6" i="1"/>
  <c r="BB4" i="1"/>
  <c r="BC4" i="2" l="1"/>
  <c r="BB6" i="2"/>
  <c r="BC4" i="1"/>
  <c r="BB6" i="1"/>
  <c r="BD4" i="2" l="1"/>
  <c r="BC6" i="2"/>
  <c r="BC6" i="1"/>
  <c r="BD4" i="1"/>
  <c r="BE4" i="2" l="1"/>
  <c r="BD6" i="2"/>
  <c r="BE4" i="1"/>
  <c r="BD6" i="1"/>
  <c r="BE6" i="2" l="1"/>
  <c r="BF4" i="2"/>
  <c r="BE6" i="1"/>
  <c r="BF4" i="1"/>
  <c r="BG4" i="2" l="1"/>
  <c r="BF6" i="2"/>
  <c r="BG4" i="1"/>
  <c r="BF6" i="1"/>
  <c r="BH4" i="2" l="1"/>
  <c r="BG6" i="2"/>
  <c r="BG3" i="2"/>
  <c r="BG3" i="1"/>
  <c r="BH4" i="1"/>
  <c r="BG6" i="1"/>
  <c r="BI4" i="2" l="1"/>
  <c r="BH6" i="2"/>
  <c r="BI4" i="1"/>
  <c r="BH6" i="1"/>
  <c r="BI6" i="2" l="1"/>
  <c r="BJ4" i="2"/>
  <c r="BI6" i="1"/>
  <c r="BJ4" i="1"/>
  <c r="BK4" i="2" l="1"/>
  <c r="BJ6" i="2"/>
  <c r="BK4" i="1"/>
  <c r="BJ6" i="1"/>
  <c r="BL4" i="2" l="1"/>
  <c r="BK6" i="2"/>
  <c r="BL4" i="1"/>
  <c r="BK6" i="1"/>
  <c r="BM4" i="2" l="1"/>
  <c r="BM6" i="2" s="1"/>
  <c r="BL6" i="2"/>
  <c r="BM4" i="1"/>
  <c r="BM6" i="1" s="1"/>
  <c r="BL6" i="1"/>
</calcChain>
</file>

<file path=xl/sharedStrings.xml><?xml version="1.0" encoding="utf-8"?>
<sst xmlns="http://schemas.openxmlformats.org/spreadsheetml/2006/main" count="812" uniqueCount="227">
  <si>
    <t>Dự án Đầu tư tăng cường năng lực ứng dụng Công nghệ thông tin đáp ứng chuyển đổi số và công tác quản lý, khám chữa bệnh tại Bệnh viện TWQĐ 108</t>
  </si>
  <si>
    <t>Legend:</t>
  </si>
  <si>
    <t>Theo dõi</t>
  </si>
  <si>
    <t>Đáp ứng</t>
  </si>
  <si>
    <t>Rủi ro chậm</t>
  </si>
  <si>
    <t>Chậm</t>
  </si>
  <si>
    <t>Chưa phân loại</t>
  </si>
  <si>
    <t>Project start date:</t>
  </si>
  <si>
    <t>Scrolling increment:</t>
  </si>
  <si>
    <t>STT</t>
  </si>
  <si>
    <t>NỘI DUNG</t>
  </si>
  <si>
    <t>XẾP LOẠI</t>
  </si>
  <si>
    <t>PHÂN CÔNG</t>
  </si>
  <si>
    <t>XỬ LÝ</t>
  </si>
  <si>
    <t>BẮT ĐẦU</t>
  </si>
  <si>
    <t>NGÀY</t>
  </si>
  <si>
    <t>KẾT THÚC</t>
  </si>
  <si>
    <t>A</t>
  </si>
  <si>
    <t>CHUẨN BỊ ĐẦU TƯ</t>
  </si>
  <si>
    <t>Ban QLDA</t>
  </si>
  <si>
    <t>Hoàn thành</t>
  </si>
  <si>
    <t>Lập, thẩm định, Quyết định chủ trương đầu tư dự án</t>
  </si>
  <si>
    <t>1.1</t>
  </si>
  <si>
    <t>Lập chủ trương đầu tư dự án</t>
  </si>
  <si>
    <t>1.1.1</t>
  </si>
  <si>
    <t>Lập Báo cáo đề xuất chủ trương đầu tư</t>
  </si>
  <si>
    <t>1.2</t>
  </si>
  <si>
    <t>Thẩm định Báo cáo đề xuất chủ trương đầu tư</t>
  </si>
  <si>
    <t>1.2.1</t>
  </si>
  <si>
    <t>Lấy ý kiến các cơ quan thẩm định (Bộ Tư lệnh 86; Cục Bảo vệ an ninh; Cục Kế hoạch đầu tư; Cục Tài chính; Cục Quân y…)</t>
  </si>
  <si>
    <t>1.2.2</t>
  </si>
  <si>
    <t>Bệnh viện giải trình các nội dung thẩm định</t>
  </si>
  <si>
    <t>1.2.3</t>
  </si>
  <si>
    <t>Báo cáo thẩm định Chủ trương đầu tư</t>
  </si>
  <si>
    <t>1.3</t>
  </si>
  <si>
    <t>Phê duyệt Quyết định Chủ trương đầu tư</t>
  </si>
  <si>
    <t>Khảo sát</t>
  </si>
  <si>
    <t>2.1</t>
  </si>
  <si>
    <t>Lập nhiệm vụ khảo sát và tổ chức thực hiện công tác khảo sát (Nêu rõ được Nhiệm vụ, Yêu cầu Thiết kế Hạ tầng kĩ thuật phần cứng; xây dựng phần mềm… theo yêu cầu tại Điều 17, 18 NĐ 73/2019/NĐ-CP)</t>
  </si>
  <si>
    <t>Ban CNTT</t>
  </si>
  <si>
    <t>2.1.1</t>
  </si>
  <si>
    <t>Mục đích khảo sát</t>
  </si>
  <si>
    <t>2.1.2</t>
  </si>
  <si>
    <t>Phạm vi khảo sát</t>
  </si>
  <si>
    <t>2.1.3</t>
  </si>
  <si>
    <t>Các loại công tác khảo sát dự kiến</t>
  </si>
  <si>
    <t>2.1.4</t>
  </si>
  <si>
    <t>Thời gian thực hiện khảo sát dự kiến</t>
  </si>
  <si>
    <t>2.2</t>
  </si>
  <si>
    <t>Phê duyệt Nhiệm vụ khảo sát (Đáp ứng yêu cầu : Nhiệm vụ, Thiết kế Hạ tầng kĩ thuật phần cứng; xây dựng phần mềm… theo quy định tại Điều 17, 18 NĐ 73/2019/NĐ-CP)</t>
  </si>
  <si>
    <t>2.3</t>
  </si>
  <si>
    <t>Báo cáo kết quả khảo sát</t>
  </si>
  <si>
    <t>2.3.1</t>
  </si>
  <si>
    <t>Tên nhiệm vụ khảo sát được duyệt</t>
  </si>
  <si>
    <t>2.3.2</t>
  </si>
  <si>
    <t>Đặc điểm, quy mô đầu tư</t>
  </si>
  <si>
    <t>2.3.3</t>
  </si>
  <si>
    <t>Quy trình, phương pháp và thiết bị (nếu có) dùng cho khảo sát</t>
  </si>
  <si>
    <t>2.3.4</t>
  </si>
  <si>
    <t>Số liệu, kết quả khảo sát thực tế. Đối với phần mềm nội bộ, bổ sung thêm mô tả yêu cầu người sử dụng.</t>
  </si>
  <si>
    <t>2.3.5</t>
  </si>
  <si>
    <t>Phân tích số liệu, đánh giá kết quả khảo sát</t>
  </si>
  <si>
    <t>2.3.6</t>
  </si>
  <si>
    <t>Đề xuất giải pháp kỹ thuật - công nghệ (nếu có) phục vụ cho việc thiết kế cơ sở hoặc thiết kế chi tiết,</t>
  </si>
  <si>
    <t>2.3.7</t>
  </si>
  <si>
    <t>Kết luận và kiến nghị (Nêu rõ được Nhiệm vụ, Yêu cầu Thiết kế Hạ tầng kĩ thuật phần cứng; xây dựng phần mềm… theo yêu cầu tại Điều 17, 18 NĐ 73/2019/NĐ-CP)</t>
  </si>
  <si>
    <t>2.3.8</t>
  </si>
  <si>
    <t>Các phụ lục có liên quan để minh họa cho kết quả khảo sát thu được (nếu có)</t>
  </si>
  <si>
    <t>2.5</t>
  </si>
  <si>
    <t>Các nội dung Phục vụ Lập HSMT gói thầu Tư vấn Khảo sát và lập Báo cáo nghiên cứu khả thi</t>
  </si>
  <si>
    <t>2.5.1</t>
  </si>
  <si>
    <t>Lập nhiệm vụ thiết kế mô hình tổng thể, mô hình logic, mô hình vật lý hệ thống, đưa ra các hạng mục đầu tư chính của dự án bảo đảm thể hiện được các kết nối bên trong, bên ngoài, đường truyền của hệ thống và thông số kĩ thuật cơ bản, số lượng thiết bị ... Tuân thủ theo quy định tại Điều 17, 18 NĐ 73/2019/NĐ-CP)</t>
  </si>
  <si>
    <t>2.5.2</t>
  </si>
  <si>
    <t>Phê duyệt nhiệm vụ thiết kế mô hình tổng thể, mô hình logic, mô hình vật lý hệ thống, đưa ra các hạng mục đầu tư chính của dự án bảo đảm thể hiện được các kết nối bên trong, bên ngoài, đường truyền của hệ thống và thông số kĩ thuật cơ bản, số lượng thiết bị ... Tuân thủ theo quy định tại Điều 17, 18 NĐ 73/2019/NĐ-CP)</t>
  </si>
  <si>
    <t>2.5.3</t>
  </si>
  <si>
    <t>Mô tả các quy trình nghiệp vụ cần được tin học hóa (tổ chức, vận hành của quy trình, sản phẩm của quá trình nghiệp vụ, các giao tác xử lý của quy trình nghiệp vụ); Các đối tượng tham gia vào quy trình nghiệp vụ và mối liên hệ giữa chúng (con người, các nguồn lực, thiết bị phục vụ cho xử lý nghiệp vụ, các yếu tố đóng vai trò hỗ trợ khác); Các yêu cầu phi chức năng ... phục vụ xây dựng phần mềm Tuân thủ theo quy định tại Điều 18 NĐ 73/2019/NĐ-CP)</t>
  </si>
  <si>
    <t>Ban QLCL</t>
  </si>
  <si>
    <t>2.5.4</t>
  </si>
  <si>
    <t>Thẩm định các quy trình nghiệp vụ cần được tin học hóa phục vụ xây dựng phần mềm tuân thủ theo quy định tại Điều 18 NĐ 73/2019/NĐ-CP)</t>
  </si>
  <si>
    <t>Phòng KHTH</t>
  </si>
  <si>
    <t>2.5.5</t>
  </si>
  <si>
    <t>Phê duyệt quy trình nghiệp vụ cần được tin học hóa phục vụ xây dựng phần mềm tuân thủ theo quy định tại Điều 18 NĐ 73/2019/NĐ-CP)</t>
  </si>
  <si>
    <t>Lập, thẩm định, Quyết định đầu tư dự án</t>
  </si>
  <si>
    <t>3.1</t>
  </si>
  <si>
    <t>Lựa chọn nhà thầu Tư vấn Khảo sát và lập Báo cáo nghiên cứu khả thi</t>
  </si>
  <si>
    <t>Lập báo cáo nghiên cứu khả thi</t>
  </si>
  <si>
    <t>3.1.1</t>
  </si>
  <si>
    <t>Lựa chọn nhà thầu giai đoạn chuẩn bị đầu tư (Lập Báo cáo nghiên cứu khả thi)</t>
  </si>
  <si>
    <t>-</t>
  </si>
  <si>
    <t>Lập Dự toán và Kế hoạch lựa chọn nhà thầu Tư vấn lập Báo cáo nghiên cứu khả thi</t>
  </si>
  <si>
    <t>Thẩm định Dự toán và Kế hoạch lựa chọn nhà thầu Tư vấn lập Báo cáo nghiên cứu khả thi</t>
  </si>
  <si>
    <t>Tổ thẩm định</t>
  </si>
  <si>
    <t>Phê duyệt Dự toán và Kế hoạch lựa chọn nhà thầu Tư vấn lập Báo cáo nghiên cứu khả thi</t>
  </si>
  <si>
    <t>Tổ chức lựa chọn nhà thầu Tư vấn lập Báo cáo nghiên cứu khả thi</t>
  </si>
  <si>
    <t>3.2</t>
  </si>
  <si>
    <t>Tổ chức thực hiện Gói thầu TV-02: Gói thầu TV-02: Tư vấn Khảo sát và lập Báo cáo nghiên cứu khả thi (Giai đoạn chuẩn bị đầu tư)</t>
  </si>
  <si>
    <t>Ban CNTT; Ban QLDA</t>
  </si>
  <si>
    <t>Thực hiện Hợp đồng số 911 ngày 30/06/2025 giữa Bệnh viện TWQĐ 108 và Liên danh nhà thầu PT-IVT</t>
  </si>
  <si>
    <t>Nhà thầu Tư vấn</t>
  </si>
  <si>
    <t>Bàn giao sản phẩm tư vấn</t>
  </si>
  <si>
    <t>3.3</t>
  </si>
  <si>
    <t>Nghiệm thu sản phẩm Tư vấn khảo sát và lập báo cáo NCKT</t>
  </si>
  <si>
    <t>3.3.1</t>
  </si>
  <si>
    <t>Tiếp nhận tài liệu báo cáo khảo sát và nghiên cứu khả thi</t>
  </si>
  <si>
    <t>3.3.2</t>
  </si>
  <si>
    <t>Nghiên cứu tài liệu, góp ý về mặt chuyên môn CNTT</t>
  </si>
  <si>
    <t>3.3.3</t>
  </si>
  <si>
    <t>Gửi xin ý kiến các cơ quan đơn vị trong toàn Bệnh viện</t>
  </si>
  <si>
    <t>- Xây dựng công văn</t>
  </si>
  <si>
    <t>- Ban hành công văn và gửi tài liệu</t>
  </si>
  <si>
    <t>- Tiếp nhận và tổng hợp ý kiến phản hồi</t>
  </si>
  <si>
    <t>3.3.4</t>
  </si>
  <si>
    <t>Phối hợp đơn vị tư vấn chỉnh sửa quyển tài liệu</t>
  </si>
  <si>
    <t>3.3.5</t>
  </si>
  <si>
    <t>Nghiên cứu tài liệu sau chỉnh sửa</t>
  </si>
  <si>
    <t>3.3.6</t>
  </si>
  <si>
    <t>Thảo luận, thống nhất, chỉnh sửa lần cuối, in, ký, đóng dấu văn bản tại chỗ</t>
  </si>
  <si>
    <t>Ban QLDA CĐS</t>
  </si>
  <si>
    <t>3.4</t>
  </si>
  <si>
    <t>Lập, phê duyệt dự án lần 1</t>
  </si>
  <si>
    <t>3.4.1</t>
  </si>
  <si>
    <t>Lập Tờ trình thẩm định, phê duyệt dự án gửi kèm Báo cáo nghiên cứu khả thi</t>
  </si>
  <si>
    <t>3.4.2</t>
  </si>
  <si>
    <t>Thẩm định dự án đầu tư</t>
  </si>
  <si>
    <t>Cục TC/ BQP</t>
  </si>
  <si>
    <t>Lấy ý kiến các cơ quan thẩm định ( Cục Kế hoạch đầu tư; Bộ Tư lệnh 86; Cục Bảo vệ an ninh; Cục Tài chính; Cục Quân y…)</t>
  </si>
  <si>
    <t>Thông báo dừng thẩm định</t>
  </si>
  <si>
    <t>Báo cáo thẩm định dự án đầu tư</t>
  </si>
  <si>
    <t>3.4.3</t>
  </si>
  <si>
    <t>Quyết định phê duyệt đầu tư dự án</t>
  </si>
  <si>
    <t>BQP</t>
  </si>
  <si>
    <t>Lập, phê duyệt dự án lần 2</t>
  </si>
  <si>
    <t>B</t>
  </si>
  <si>
    <t>THỰC HIỆN ĐẦU TƯ</t>
  </si>
  <si>
    <t>Thực hiện việc khảo sát bổ sung (nếu có)</t>
  </si>
  <si>
    <t>Thỏa thuận sử dụng tần số, tài nguyên quốc gia (nếu có theo quy định của Pháp luật)</t>
  </si>
  <si>
    <t>Lập, thẩm định, phê duyệt hồ sơ thiết kế chi tiết (Phương án Chỉ định thầu)</t>
  </si>
  <si>
    <t>Lựa chọn nhà thầu lập Hồ sơ Thiết kế chi tiết</t>
  </si>
  <si>
    <t>Lập Dự toán và Kế hoạch lựa chọn nhà thầu Tư vấn lập Hồ sơ Thiết kế chi tiết</t>
  </si>
  <si>
    <t>Thẩm định Dự toán và Kế hoạch lựa chọn nhà thầu Tư vấn lập Hồ sơ Thiết kế chi tiết</t>
  </si>
  <si>
    <t>Tổ thẩm định BV</t>
  </si>
  <si>
    <t>Phê duyệt Dự toán và Kế hoạch lựa chọn nhà thầu Tư vấn lập Hồ sơ Thiết kế chi tiết</t>
  </si>
  <si>
    <t>Giám đốc Bệnh viện</t>
  </si>
  <si>
    <t>Tổ chức lựa chọn nhà thầu Tư vấn lập Hồ sơ Thiết kế chi tiết</t>
  </si>
  <si>
    <t>Lập Thiế kế chi tiết, Dự toán</t>
  </si>
  <si>
    <t>Thẩm định Thiết kế chi tiết, Dự toán</t>
  </si>
  <si>
    <t>Phê duyệt Thiết kế chi tiết, Dự toán</t>
  </si>
  <si>
    <t>Tổ chức lựa chọn nhà thầu và thực hiện các Hợp đồng</t>
  </si>
  <si>
    <t>4.1</t>
  </si>
  <si>
    <t>Lập, thẩm định, phê duyệt Kế hoạch lựa chọn nhà thầu</t>
  </si>
  <si>
    <t>Lập Tờ trình xin phê duyệt Kế hoạch Lựa chọn nhà thầu</t>
  </si>
  <si>
    <t>Thẩm định Kế hoạch Lựa chọn nhà thầu</t>
  </si>
  <si>
    <t>Phê duyệt Kế hoạch lựa chọn nhà thầu</t>
  </si>
  <si>
    <t>4.2</t>
  </si>
  <si>
    <t>Tổ chức lựa chọn nhà thầu</t>
  </si>
  <si>
    <t>Lập, thẩm định, phê duyệt HSMT</t>
  </si>
  <si>
    <t>Tổ chức đấu thầu (Kế hoạch chi tiết sau khi có phê duyệt KHLCNT)</t>
  </si>
  <si>
    <t>Đăng tải HSMT</t>
  </si>
  <si>
    <t>Báo cáo đánh giá HSDT</t>
  </si>
  <si>
    <t>Thẩm định Kết quả lựa chọn nhà thầu</t>
  </si>
  <si>
    <t>Phê duyệt Kết quả lựa chọn nhà thầu</t>
  </si>
  <si>
    <t>4.3</t>
  </si>
  <si>
    <t>Kí kết Hợp đồng</t>
  </si>
  <si>
    <t>Kiểm tra, giám sát quá trình thực hiện các Hợp đồng</t>
  </si>
  <si>
    <t>Quản lý thực hiện dự án</t>
  </si>
  <si>
    <t>Kiểm thử hoặc vận hành thử</t>
  </si>
  <si>
    <t>Bàn giao sản phẩm, hạng mục công việc của dự án</t>
  </si>
  <si>
    <t>Đào tạo hướng dẫn sử dụng, triển khai, hỗ trợ, quản trị, vận hành và khai thác</t>
  </si>
  <si>
    <t>Nghiệm thu, bàn giao dự án</t>
  </si>
  <si>
    <t>Lập hồ sơ hoàn thành, lưu trữ hồ sơ của dự án theo quy định</t>
  </si>
  <si>
    <t>C</t>
  </si>
  <si>
    <t>KẾT THÚC ĐẦU TƯ</t>
  </si>
  <si>
    <t>Bảo hành sản phẩm</t>
  </si>
  <si>
    <t>Bảo trì sản phẩm</t>
  </si>
  <si>
    <t>Thanh toán, Quyết toán Dự án</t>
  </si>
  <si>
    <t>To add more data, Insert new rows ABOVE this one</t>
  </si>
  <si>
    <t>Lập Tờ trình phê duyệt tính năng</t>
  </si>
  <si>
    <t>Thẩm định tính năng</t>
  </si>
  <si>
    <t>BTTM Lấy ý kiến các cơ quan thẩm định (Bộ Tư lệnh 86; Cục Bảo vệ an ninh; Cục Quân y…)</t>
  </si>
  <si>
    <t>Cục Quân lực/ BTTM</t>
  </si>
  <si>
    <t>Quyết định phê duyệt tính năng kỹ chiến thuật</t>
  </si>
  <si>
    <t>BTTM</t>
  </si>
  <si>
    <t>4.4</t>
  </si>
  <si>
    <t>5.1</t>
  </si>
  <si>
    <t>5.1.1</t>
  </si>
  <si>
    <t>5.1.2</t>
  </si>
  <si>
    <t>5.1.3</t>
  </si>
  <si>
    <t>5.2</t>
  </si>
  <si>
    <t>5.2.1</t>
  </si>
  <si>
    <t>5.2.2</t>
  </si>
  <si>
    <t>5.3</t>
  </si>
  <si>
    <t>Lập, thẩm định, phê duyệt danh mục tính năng kĩ chiến thuật trang thiết bị</t>
  </si>
  <si>
    <t>Gói thầu TV -03: Tư vấn lập HSYC và đánh giá HSĐX gói thầu Tư vấn TKCT -DT</t>
  </si>
  <si>
    <t xml:space="preserve"> - Gửi thư mời quan tâm</t>
  </si>
  <si>
    <t xml:space="preserve"> - Báo cáo đánh giá HSNL</t>
  </si>
  <si>
    <t xml:space="preserve"> - Tờ trình phê duyệt CĐT</t>
  </si>
  <si>
    <t xml:space="preserve"> - Thương thảo Hợp đồng</t>
  </si>
  <si>
    <t xml:space="preserve"> - Quyết định phê duyệt CĐT</t>
  </si>
  <si>
    <t xml:space="preserve"> - Hợp đồng</t>
  </si>
  <si>
    <t xml:space="preserve"> - Nộp Hồ sơ lần 2</t>
  </si>
  <si>
    <t xml:space="preserve"> - Thẩm định sản phẩm lần 1</t>
  </si>
  <si>
    <t>Gói thầu TV-04: Tư vấn thẩm định  HSYC và KQLCNT  gói thầu Tư vấn TKCT-DT</t>
  </si>
  <si>
    <t xml:space="preserve"> CV gửi ban QLĐT thẩm định HSNL</t>
  </si>
  <si>
    <t>Ban QLĐT</t>
  </si>
  <si>
    <t xml:space="preserve"> - Thẩm định HSYC lần 1</t>
  </si>
  <si>
    <t xml:space="preserve"> - Nộp Hồ sơ yêu cầu lần 1</t>
  </si>
  <si>
    <t>Gói thầu TV-05: Tư vấn lập Thiết kế chi tiết – Dự toán</t>
  </si>
  <si>
    <t>- CV gửi ban QLĐT thẩm định HSNL</t>
  </si>
  <si>
    <t>- Báo cáo đánh giá HSNL</t>
  </si>
  <si>
    <t>- Thương thảo Hợp đồng</t>
  </si>
  <si>
    <t>- Tờ trình phê duyệt CĐT</t>
  </si>
  <si>
    <t>- Quyết định phê duyệt CĐT</t>
  </si>
  <si>
    <t>- Hợp đồng</t>
  </si>
  <si>
    <t>- Báo cáo Ban Thường vụ Đảng ủy Bệnh viện</t>
  </si>
  <si>
    <t>- Ban Thường vụ Đảng ủy Bệnh viện ra Quyết nghị</t>
  </si>
  <si>
    <t>Thường vụ Đảng ủy BV</t>
  </si>
  <si>
    <t>- Tờ trình phê duyệt HSYC</t>
  </si>
  <si>
    <t>- Thẩm định HSYC</t>
  </si>
  <si>
    <t>- Phê duyệt HSYC</t>
  </si>
  <si>
    <t>- NT nộp HSĐX</t>
  </si>
  <si>
    <t>- Đánh giá HSĐX</t>
  </si>
  <si>
    <t>- Nộp sản phẩm TKCT-DT</t>
  </si>
  <si>
    <t>Gói thầu TV-06: Tư vấn thẩm tra Thiết kế chi tiết – Dự toán</t>
  </si>
  <si>
    <t xml:space="preserve"> - Thẩm tra TKCT-DT</t>
  </si>
  <si>
    <t>Tổ chức lựa chọn nhà thầu theo quy trình CĐT thông thường</t>
  </si>
  <si>
    <t>Xong</t>
  </si>
  <si>
    <t>Đang thực hiện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</si>
</sst>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numFmt numFmtId="165" formatCode="_(* #,##0_);_(* \(#,##0\);_(* &quot;-&quot;_);_(@_)"/>
    <numFmt numFmtId="166" formatCode="_(* #,##0.00_);_(* \(#,##0.00\);_(* &quot;-&quot;??_);_(@_)"/>
    <numFmt numFmtId="167" formatCode="dd/mm/yy"/>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22"/>
      <color theme="1" tint="0.34998626667073579"/>
      <name val="Calibri Light"/>
      <family val="2"/>
      <scheme val="major"/>
    </font>
    <font>
      <b/>
      <sz val="14"/>
      <color theme="0"/>
      <name val="Calibri Light"/>
      <family val="2"/>
      <scheme val="major"/>
    </font>
    <font>
      <sz val="14"/>
      <color theme="1"/>
      <name val="Calibri"/>
      <family val="2"/>
      <scheme val="minor"/>
    </font>
    <font>
      <b/>
      <sz val="16"/>
      <name val="Calibri"/>
      <family val="2"/>
      <scheme val="minor"/>
    </font>
    <font>
      <sz val="14"/>
      <name val="Calibri"/>
      <family val="2"/>
      <scheme val="minor"/>
    </font>
    <font>
      <sz val="11"/>
      <name val="Calibri"/>
      <family val="2"/>
      <scheme val="minor"/>
    </font>
    <font>
      <b/>
      <sz val="14"/>
      <color theme="0"/>
      <name val="Calibri"/>
      <family val="2"/>
      <scheme val="minor"/>
    </font>
    <font>
      <b/>
      <sz val="14"/>
      <name val="Calibri"/>
      <family val="2"/>
      <scheme val="minor"/>
    </font>
    <font>
      <b/>
      <sz val="16"/>
      <color rgb="FF000000"/>
      <name val="Calibri"/>
      <family val="2"/>
      <scheme val="minor"/>
    </font>
    <font>
      <sz val="16"/>
      <color rgb="FF000000"/>
      <name val="Calibri"/>
      <family val="2"/>
      <scheme val="minor"/>
    </font>
    <font>
      <sz val="16"/>
      <color theme="1"/>
      <name val="Calibri"/>
      <family val="2"/>
      <scheme val="minor"/>
    </font>
    <font>
      <sz val="10"/>
      <name val="Calibri"/>
      <family val="2"/>
      <scheme val="minor"/>
    </font>
    <font>
      <b/>
      <sz val="11"/>
      <color theme="0"/>
      <name val="Times New Roman"/>
      <family val="1"/>
    </font>
    <font>
      <b/>
      <sz val="10"/>
      <color theme="0"/>
      <name val="Calibri"/>
      <family val="2"/>
      <scheme val="minor"/>
    </font>
    <font>
      <b/>
      <u/>
      <sz val="11"/>
      <color theme="1"/>
      <name val="Times New Roman"/>
      <family val="1"/>
    </font>
    <font>
      <sz val="11"/>
      <name val="Times New Roman"/>
      <family val="1"/>
    </font>
    <font>
      <sz val="11"/>
      <color theme="1"/>
      <name val="Times New Roman"/>
      <family val="1"/>
    </font>
    <font>
      <b/>
      <sz val="11"/>
      <name val="Times New Roman"/>
      <family val="1"/>
    </font>
    <font>
      <b/>
      <sz val="11"/>
      <color theme="1"/>
      <name val="Times New Roman"/>
      <family val="1"/>
    </font>
    <font>
      <b/>
      <i/>
      <sz val="11"/>
      <color theme="1"/>
      <name val="Times New Roman"/>
      <family val="1"/>
    </font>
    <font>
      <i/>
      <sz val="11"/>
      <color theme="1"/>
      <name val="Times New Roman"/>
      <family val="1"/>
    </font>
    <font>
      <b/>
      <sz val="11"/>
      <name val="Calibri"/>
      <family val="2"/>
      <scheme val="minor"/>
    </font>
    <font>
      <b/>
      <sz val="11"/>
      <color theme="1" tint="0.499984740745262"/>
      <name val="Calibri"/>
      <family val="2"/>
      <scheme val="minor"/>
    </font>
    <font>
      <u/>
      <sz val="11"/>
      <color indexed="12"/>
      <name val="Arial"/>
      <family val="2"/>
    </font>
    <font>
      <sz val="10"/>
      <color theme="1" tint="0.499984740745262"/>
      <name val="Arial"/>
      <family val="2"/>
    </font>
    <font>
      <sz val="8"/>
      <name val="Calibri"/>
      <family val="2"/>
      <scheme val="minor"/>
    </font>
  </fonts>
  <fills count="16">
    <fill>
      <patternFill patternType="none"/>
    </fill>
    <fill>
      <patternFill patternType="gray125"/>
    </fill>
    <fill>
      <patternFill patternType="solid">
        <fgColor theme="6"/>
      </patternFill>
    </fill>
    <fill>
      <patternFill patternType="solid">
        <fgColor theme="9" tint="-0.499984740745262"/>
        <bgColor indexed="64"/>
      </patternFill>
    </fill>
    <fill>
      <patternFill patternType="solid">
        <fgColor theme="9" tint="0.39997558519241921"/>
        <bgColor indexed="64"/>
      </patternFill>
    </fill>
    <fill>
      <patternFill patternType="solid">
        <fgColor theme="9"/>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2F2F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s>
  <borders count="12">
    <border>
      <left/>
      <right/>
      <top/>
      <bottom/>
      <diagonal/>
    </border>
    <border>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499984740745262"/>
      </top>
      <bottom/>
      <diagonal/>
    </border>
    <border>
      <left/>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s>
  <cellStyleXfs count="12">
    <xf numFmtId="0" fontId="0" fillId="0" borderId="0"/>
    <xf numFmtId="166" fontId="1" fillId="0" borderId="0" applyFont="0" applyFill="0" applyBorder="0" applyAlignment="0" applyProtection="0"/>
    <xf numFmtId="165" fontId="1" fillId="0" borderId="0" applyFont="0" applyFill="0" applyBorder="0" applyAlignment="0" applyProtection="0"/>
    <xf numFmtId="0" fontId="3" fillId="2" borderId="0" applyNumberFormat="0" applyBorder="0" applyAlignment="0" applyProtection="0"/>
    <xf numFmtId="0" fontId="3" fillId="0" borderId="0"/>
    <xf numFmtId="0" fontId="4" fillId="0" borderId="0" applyNumberFormat="0" applyFill="0" applyBorder="0" applyAlignment="0" applyProtection="0"/>
    <xf numFmtId="0" fontId="6" fillId="0" borderId="0" applyNumberFormat="0" applyFill="0" applyAlignment="0" applyProtection="0"/>
    <xf numFmtId="0" fontId="1" fillId="0" borderId="0" applyNumberFormat="0" applyFill="0" applyProtection="0">
      <alignment horizontal="right" vertical="center" indent="1"/>
    </xf>
    <xf numFmtId="14" fontId="1" fillId="0" borderId="0" applyFont="0" applyFill="0" applyBorder="0">
      <alignment horizontal="center" vertical="center"/>
    </xf>
    <xf numFmtId="9" fontId="1" fillId="0" borderId="0" applyFont="0" applyFill="0" applyBorder="0" applyProtection="0">
      <alignment horizontal="center" vertical="center"/>
    </xf>
    <xf numFmtId="37" fontId="1" fillId="0" borderId="0" applyFont="0" applyFill="0" applyBorder="0" applyProtection="0">
      <alignment horizontal="center" vertical="center"/>
    </xf>
    <xf numFmtId="0" fontId="27" fillId="0" borderId="0" applyNumberFormat="0" applyFill="0" applyBorder="0" applyAlignment="0" applyProtection="0">
      <alignment vertical="top"/>
      <protection locked="0"/>
    </xf>
  </cellStyleXfs>
  <cellXfs count="137">
    <xf numFmtId="0" fontId="0" fillId="0" borderId="0" xfId="0"/>
    <xf numFmtId="0" fontId="3" fillId="0" borderId="0" xfId="4" applyAlignment="1">
      <alignment wrapText="1"/>
    </xf>
    <xf numFmtId="0" fontId="3" fillId="3" borderId="0" xfId="0" applyFont="1" applyFill="1"/>
    <xf numFmtId="0" fontId="7" fillId="0" borderId="0" xfId="6" applyFont="1" applyFill="1" applyAlignment="1">
      <alignment horizontal="left" vertical="center" indent="2"/>
    </xf>
    <xf numFmtId="0" fontId="8" fillId="0" borderId="0" xfId="6" applyFont="1" applyFill="1" applyAlignment="1">
      <alignment horizontal="left" vertical="center" indent="2"/>
    </xf>
    <xf numFmtId="0" fontId="9" fillId="0" borderId="0" xfId="0" applyFont="1" applyAlignment="1">
      <alignment horizontal="left" vertical="center" indent="2"/>
    </xf>
    <xf numFmtId="0" fontId="9" fillId="0" borderId="0" xfId="0" applyFont="1"/>
    <xf numFmtId="0" fontId="9" fillId="0" borderId="0" xfId="0" applyFont="1" applyAlignment="1">
      <alignment horizontal="center"/>
    </xf>
    <xf numFmtId="0" fontId="9" fillId="0" borderId="0" xfId="0" applyFont="1" applyAlignment="1">
      <alignment horizontal="right" vertical="center"/>
    </xf>
    <xf numFmtId="0" fontId="9" fillId="0" borderId="0" xfId="7" applyFont="1" applyFill="1" applyAlignment="1">
      <alignment horizontal="left" vertical="center" indent="2"/>
    </xf>
    <xf numFmtId="14" fontId="9" fillId="0" borderId="0" xfId="8" applyFont="1" applyFill="1" applyBorder="1" applyAlignment="1">
      <alignment horizontal="left" vertical="center"/>
    </xf>
    <xf numFmtId="14" fontId="9" fillId="0" borderId="0" xfId="8" applyFont="1" applyFill="1" applyBorder="1" applyAlignment="1">
      <alignment horizontal="left" vertical="center" indent="2"/>
    </xf>
    <xf numFmtId="0" fontId="7" fillId="0" borderId="1" xfId="0" applyFont="1" applyBorder="1" applyAlignment="1">
      <alignment vertical="center"/>
    </xf>
    <xf numFmtId="0" fontId="12" fillId="0" borderId="1" xfId="0" applyFont="1" applyBorder="1" applyAlignment="1">
      <alignment vertical="center"/>
    </xf>
    <xf numFmtId="0" fontId="13" fillId="0" borderId="1" xfId="0" applyFont="1" applyBorder="1" applyAlignment="1">
      <alignment vertical="center"/>
    </xf>
    <xf numFmtId="0" fontId="14" fillId="0" borderId="1" xfId="0" applyFont="1" applyBorder="1"/>
    <xf numFmtId="0" fontId="9" fillId="0" borderId="0" xfId="0" applyFont="1" applyAlignment="1">
      <alignment horizontal="left" vertical="center"/>
    </xf>
    <xf numFmtId="0" fontId="9" fillId="0" borderId="2" xfId="0" applyFont="1" applyBorder="1"/>
    <xf numFmtId="164" fontId="15" fillId="9" borderId="3" xfId="0" applyNumberFormat="1" applyFont="1" applyFill="1" applyBorder="1" applyAlignment="1">
      <alignment horizontal="center" vertical="center"/>
    </xf>
    <xf numFmtId="164" fontId="15" fillId="9" borderId="4" xfId="0" applyNumberFormat="1" applyFont="1" applyFill="1" applyBorder="1" applyAlignment="1">
      <alignment horizontal="center" vertical="center"/>
    </xf>
    <xf numFmtId="164" fontId="15" fillId="9" borderId="5" xfId="0" applyNumberFormat="1" applyFont="1" applyFill="1" applyBorder="1" applyAlignment="1">
      <alignment horizontal="center" vertical="center"/>
    </xf>
    <xf numFmtId="164" fontId="15" fillId="9" borderId="6" xfId="0" applyNumberFormat="1" applyFont="1" applyFill="1" applyBorder="1" applyAlignment="1">
      <alignment horizontal="center" vertical="center"/>
    </xf>
    <xf numFmtId="164" fontId="15" fillId="9" borderId="0" xfId="0" applyNumberFormat="1" applyFont="1" applyFill="1" applyAlignment="1">
      <alignment horizontal="center" vertical="center"/>
    </xf>
    <xf numFmtId="164" fontId="15" fillId="9" borderId="7" xfId="0" applyNumberFormat="1" applyFont="1" applyFill="1" applyBorder="1" applyAlignment="1">
      <alignment horizontal="center" vertical="center"/>
    </xf>
    <xf numFmtId="164" fontId="15" fillId="9" borderId="8" xfId="0" applyNumberFormat="1" applyFont="1" applyFill="1" applyBorder="1" applyAlignment="1">
      <alignment horizontal="center" vertical="center"/>
    </xf>
    <xf numFmtId="164" fontId="15" fillId="9" borderId="2" xfId="0" applyNumberFormat="1" applyFont="1" applyFill="1" applyBorder="1" applyAlignment="1">
      <alignment horizontal="center" vertical="center"/>
    </xf>
    <xf numFmtId="0" fontId="16" fillId="3" borderId="9" xfId="0" applyFont="1" applyFill="1" applyBorder="1" applyAlignment="1">
      <alignment horizontal="left" vertical="center"/>
    </xf>
    <xf numFmtId="0" fontId="16" fillId="3" borderId="9" xfId="0" applyFont="1" applyFill="1" applyBorder="1" applyAlignment="1">
      <alignment horizontal="center" vertical="center" wrapText="1"/>
    </xf>
    <xf numFmtId="0" fontId="17" fillId="0" borderId="2" xfId="0" applyFont="1" applyBorder="1" applyAlignment="1">
      <alignment horizontal="center" vertical="center" wrapText="1"/>
    </xf>
    <xf numFmtId="0" fontId="15" fillId="9" borderId="10" xfId="0" applyFont="1" applyFill="1" applyBorder="1" applyAlignment="1">
      <alignment horizontal="center" vertical="center" shrinkToFit="1"/>
    </xf>
    <xf numFmtId="0" fontId="18" fillId="10" borderId="9" xfId="0" applyFont="1" applyFill="1" applyBorder="1" applyAlignment="1">
      <alignment horizontal="center" vertical="center" wrapText="1"/>
    </xf>
    <xf numFmtId="0" fontId="18" fillId="10" borderId="9" xfId="0" applyFont="1" applyFill="1" applyBorder="1" applyAlignment="1">
      <alignment vertical="center" wrapText="1"/>
    </xf>
    <xf numFmtId="0" fontId="19" fillId="10" borderId="9" xfId="0" applyFont="1" applyFill="1" applyBorder="1" applyAlignment="1">
      <alignment horizontal="center" vertical="center"/>
    </xf>
    <xf numFmtId="0" fontId="20" fillId="10" borderId="9" xfId="0" applyFont="1" applyFill="1" applyBorder="1" applyAlignment="1">
      <alignment vertical="center" wrapText="1"/>
    </xf>
    <xf numFmtId="9" fontId="21" fillId="10" borderId="9" xfId="9" applyFont="1" applyFill="1" applyBorder="1">
      <alignment horizontal="center" vertical="center"/>
    </xf>
    <xf numFmtId="9" fontId="20" fillId="10" borderId="9" xfId="9" applyFont="1" applyFill="1" applyBorder="1">
      <alignment horizontal="center" vertical="center"/>
    </xf>
    <xf numFmtId="0" fontId="0" fillId="0" borderId="11" xfId="0" applyBorder="1" applyAlignment="1">
      <alignment vertical="center"/>
    </xf>
    <xf numFmtId="0" fontId="22" fillId="11" borderId="9" xfId="0" applyFont="1" applyFill="1" applyBorder="1" applyAlignment="1">
      <alignment horizontal="center" vertical="center" wrapText="1"/>
    </xf>
    <xf numFmtId="0" fontId="22" fillId="11" borderId="9" xfId="0" applyFont="1" applyFill="1" applyBorder="1" applyAlignment="1">
      <alignment vertical="center" wrapText="1"/>
    </xf>
    <xf numFmtId="0" fontId="19" fillId="11" borderId="9" xfId="0" applyFont="1" applyFill="1" applyBorder="1" applyAlignment="1">
      <alignment horizontal="center" vertical="center"/>
    </xf>
    <xf numFmtId="0" fontId="20" fillId="11" borderId="9" xfId="0" applyFont="1" applyFill="1" applyBorder="1" applyAlignment="1">
      <alignment vertical="center" wrapText="1"/>
    </xf>
    <xf numFmtId="9" fontId="21" fillId="11" borderId="9" xfId="9" applyFont="1" applyFill="1" applyBorder="1">
      <alignment horizontal="center" vertical="center"/>
    </xf>
    <xf numFmtId="9" fontId="20" fillId="11" borderId="9" xfId="9" applyFont="1" applyFill="1" applyBorder="1">
      <alignment horizontal="center" vertical="center"/>
    </xf>
    <xf numFmtId="0" fontId="0" fillId="0" borderId="0" xfId="0" applyAlignment="1">
      <alignment vertical="center"/>
    </xf>
    <xf numFmtId="0" fontId="23" fillId="0" borderId="9" xfId="0" applyFont="1" applyBorder="1" applyAlignment="1">
      <alignment horizontal="center" vertical="center" wrapText="1"/>
    </xf>
    <xf numFmtId="0" fontId="23" fillId="0" borderId="9" xfId="0" applyFont="1" applyBorder="1" applyAlignment="1">
      <alignment vertical="center" wrapText="1"/>
    </xf>
    <xf numFmtId="0" fontId="19" fillId="0" borderId="9" xfId="0" applyFont="1" applyBorder="1" applyAlignment="1">
      <alignment horizontal="center" vertical="center"/>
    </xf>
    <xf numFmtId="0" fontId="20" fillId="0" borderId="9" xfId="0" applyFont="1" applyBorder="1" applyAlignment="1">
      <alignment vertical="center" wrapText="1"/>
    </xf>
    <xf numFmtId="9" fontId="21" fillId="0" borderId="9" xfId="9" applyFont="1" applyFill="1" applyBorder="1">
      <alignment horizontal="center" vertical="center"/>
    </xf>
    <xf numFmtId="9" fontId="20" fillId="0" borderId="9" xfId="9" applyFont="1" applyFill="1" applyBorder="1">
      <alignment horizontal="center" vertical="center"/>
    </xf>
    <xf numFmtId="0" fontId="20" fillId="0" borderId="9" xfId="0" applyFont="1" applyBorder="1" applyAlignment="1">
      <alignment horizontal="center" vertical="center" wrapText="1"/>
    </xf>
    <xf numFmtId="0" fontId="20" fillId="12" borderId="9" xfId="0" applyFont="1" applyFill="1" applyBorder="1" applyAlignment="1">
      <alignment vertical="center" wrapText="1"/>
    </xf>
    <xf numFmtId="0" fontId="22" fillId="0" borderId="9" xfId="0" applyFont="1" applyBorder="1" applyAlignment="1">
      <alignment horizontal="center" vertical="center" wrapText="1"/>
    </xf>
    <xf numFmtId="0" fontId="22" fillId="12" borderId="9" xfId="0" applyFont="1" applyFill="1" applyBorder="1" applyAlignment="1">
      <alignment vertical="center" wrapText="1"/>
    </xf>
    <xf numFmtId="0" fontId="22" fillId="0" borderId="9" xfId="0" applyFont="1" applyBorder="1" applyAlignment="1">
      <alignment vertical="center" wrapText="1"/>
    </xf>
    <xf numFmtId="14" fontId="20" fillId="0" borderId="9" xfId="8" applyFont="1" applyFill="1" applyBorder="1">
      <alignment horizontal="center" vertical="center"/>
    </xf>
    <xf numFmtId="165" fontId="20" fillId="0" borderId="9" xfId="2" applyFont="1" applyFill="1" applyBorder="1" applyAlignment="1">
      <alignment horizontal="center" vertical="center"/>
    </xf>
    <xf numFmtId="14" fontId="20" fillId="0" borderId="9" xfId="2" applyNumberFormat="1" applyFont="1" applyFill="1" applyBorder="1" applyAlignment="1">
      <alignment horizontal="center" vertical="center"/>
    </xf>
    <xf numFmtId="0" fontId="23" fillId="11" borderId="9" xfId="0" applyFont="1" applyFill="1" applyBorder="1" applyAlignment="1">
      <alignment horizontal="center" vertical="center" wrapText="1"/>
    </xf>
    <xf numFmtId="0" fontId="23" fillId="11" borderId="9" xfId="0" applyFont="1" applyFill="1" applyBorder="1" applyAlignment="1">
      <alignment vertical="center" wrapText="1"/>
    </xf>
    <xf numFmtId="0" fontId="24" fillId="0" borderId="9" xfId="0" applyFont="1" applyBorder="1" applyAlignment="1">
      <alignment horizontal="center" vertical="center" wrapText="1"/>
    </xf>
    <xf numFmtId="0" fontId="24" fillId="12" borderId="9" xfId="0" applyFont="1" applyFill="1" applyBorder="1" applyAlignment="1">
      <alignment vertical="center" wrapText="1"/>
    </xf>
    <xf numFmtId="0" fontId="22" fillId="0" borderId="9" xfId="0" applyFont="1" applyBorder="1" applyAlignment="1">
      <alignment horizontal="left" wrapText="1" indent="1"/>
    </xf>
    <xf numFmtId="0" fontId="22" fillId="0" borderId="9" xfId="0" applyFont="1" applyBorder="1" applyAlignment="1">
      <alignment horizontal="left" vertical="center" wrapText="1"/>
    </xf>
    <xf numFmtId="14" fontId="22" fillId="0" borderId="9" xfId="8" applyFont="1" applyFill="1" applyBorder="1">
      <alignment horizontal="center" vertical="center"/>
    </xf>
    <xf numFmtId="165" fontId="22" fillId="0" borderId="9" xfId="2" applyFont="1" applyFill="1" applyBorder="1" applyAlignment="1">
      <alignment horizontal="center" vertical="center"/>
    </xf>
    <xf numFmtId="14" fontId="25" fillId="0" borderId="9" xfId="10" applyNumberFormat="1" applyFont="1" applyFill="1" applyBorder="1">
      <alignment horizontal="center" vertical="center"/>
    </xf>
    <xf numFmtId="0" fontId="20" fillId="0" borderId="9" xfId="0" applyFont="1" applyBorder="1" applyAlignment="1">
      <alignment horizontal="left" wrapText="1" indent="2"/>
    </xf>
    <xf numFmtId="0" fontId="20" fillId="0" borderId="9" xfId="0" applyFont="1" applyBorder="1" applyAlignment="1">
      <alignment horizontal="left" vertical="center" wrapText="1"/>
    </xf>
    <xf numFmtId="1" fontId="20" fillId="0" borderId="9" xfId="1" applyNumberFormat="1" applyFont="1" applyBorder="1" applyAlignment="1">
      <alignment horizontal="center" vertical="center" wrapText="1"/>
    </xf>
    <xf numFmtId="14" fontId="20" fillId="13" borderId="9" xfId="8" applyFont="1" applyFill="1" applyBorder="1">
      <alignment horizontal="center" vertical="center"/>
    </xf>
    <xf numFmtId="1" fontId="20" fillId="0" borderId="9" xfId="2" applyNumberFormat="1" applyFont="1" applyFill="1" applyBorder="1" applyAlignment="1">
      <alignment horizontal="center" vertical="center"/>
    </xf>
    <xf numFmtId="14" fontId="9" fillId="0" borderId="9" xfId="10" applyNumberFormat="1" applyFont="1" applyFill="1" applyBorder="1">
      <alignment horizontal="center" vertical="center"/>
    </xf>
    <xf numFmtId="14" fontId="22" fillId="13" borderId="9" xfId="8" applyFont="1" applyFill="1" applyBorder="1">
      <alignment horizontal="center" vertical="center"/>
    </xf>
    <xf numFmtId="1" fontId="22" fillId="0" borderId="9" xfId="1" applyNumberFormat="1" applyFont="1" applyBorder="1" applyAlignment="1">
      <alignment horizontal="center" vertical="center" wrapText="1"/>
    </xf>
    <xf numFmtId="14" fontId="22" fillId="0" borderId="9" xfId="2" applyNumberFormat="1" applyFont="1" applyFill="1" applyBorder="1" applyAlignment="1">
      <alignment horizontal="center" vertical="center"/>
    </xf>
    <xf numFmtId="0" fontId="2" fillId="0" borderId="0" xfId="0" applyFont="1"/>
    <xf numFmtId="0" fontId="2" fillId="0" borderId="0" xfId="0" applyFont="1" applyAlignment="1">
      <alignment vertical="center"/>
    </xf>
    <xf numFmtId="1" fontId="20" fillId="0" borderId="9" xfId="1" applyNumberFormat="1" applyFont="1" applyFill="1" applyBorder="1" applyAlignment="1">
      <alignment horizontal="center" vertical="center"/>
    </xf>
    <xf numFmtId="0" fontId="22" fillId="14" borderId="9" xfId="0" applyFont="1" applyFill="1" applyBorder="1" applyAlignment="1">
      <alignment horizontal="center" vertical="center" wrapText="1"/>
    </xf>
    <xf numFmtId="0" fontId="22" fillId="14" borderId="9" xfId="0" applyFont="1" applyFill="1" applyBorder="1" applyAlignment="1">
      <alignment vertical="center" wrapText="1"/>
    </xf>
    <xf numFmtId="0" fontId="19" fillId="14" borderId="9" xfId="0" applyFont="1" applyFill="1" applyBorder="1" applyAlignment="1">
      <alignment horizontal="center" vertical="center"/>
    </xf>
    <xf numFmtId="9" fontId="21" fillId="14" borderId="9" xfId="9" applyFont="1" applyFill="1" applyBorder="1">
      <alignment horizontal="center" vertical="center"/>
    </xf>
    <xf numFmtId="14" fontId="22" fillId="14" borderId="9" xfId="0" applyNumberFormat="1" applyFont="1" applyFill="1" applyBorder="1" applyAlignment="1">
      <alignment horizontal="center" vertical="center" wrapText="1"/>
    </xf>
    <xf numFmtId="14" fontId="22" fillId="14" borderId="9" xfId="2" applyNumberFormat="1" applyFont="1" applyFill="1" applyBorder="1" applyAlignment="1">
      <alignment horizontal="center" vertical="center"/>
    </xf>
    <xf numFmtId="0" fontId="20" fillId="14" borderId="9" xfId="0" applyFont="1" applyFill="1" applyBorder="1" applyAlignment="1">
      <alignment horizontal="center" vertical="center" wrapText="1"/>
    </xf>
    <xf numFmtId="0" fontId="20" fillId="14" borderId="9" xfId="0" applyFont="1" applyFill="1" applyBorder="1" applyAlignment="1">
      <alignment vertical="center" wrapText="1"/>
    </xf>
    <xf numFmtId="14" fontId="20" fillId="14" borderId="9" xfId="0" applyNumberFormat="1" applyFont="1" applyFill="1" applyBorder="1" applyAlignment="1">
      <alignment horizontal="center" vertical="center" wrapText="1"/>
    </xf>
    <xf numFmtId="14" fontId="20" fillId="14" borderId="9" xfId="2" applyNumberFormat="1" applyFont="1" applyFill="1" applyBorder="1" applyAlignment="1">
      <alignment horizontal="center" vertical="center"/>
    </xf>
    <xf numFmtId="14" fontId="20" fillId="14" borderId="9" xfId="8" applyFont="1" applyFill="1" applyBorder="1">
      <alignment horizontal="center" vertical="center"/>
    </xf>
    <xf numFmtId="165" fontId="20" fillId="14" borderId="9" xfId="2" applyFont="1" applyFill="1" applyBorder="1" applyAlignment="1">
      <alignment horizontal="center" vertical="center" wrapText="1"/>
    </xf>
    <xf numFmtId="167" fontId="9" fillId="0" borderId="9" xfId="10" applyNumberFormat="1" applyFont="1" applyFill="1" applyBorder="1">
      <alignment horizontal="center" vertical="center"/>
    </xf>
    <xf numFmtId="14" fontId="20" fillId="10" borderId="9" xfId="0" applyNumberFormat="1" applyFont="1" applyFill="1" applyBorder="1" applyAlignment="1">
      <alignment horizontal="center" vertical="center" wrapText="1"/>
    </xf>
    <xf numFmtId="0" fontId="20" fillId="10" borderId="9" xfId="0" applyFont="1" applyFill="1" applyBorder="1" applyAlignment="1">
      <alignment horizontal="center" vertical="center" wrapText="1"/>
    </xf>
    <xf numFmtId="14" fontId="20" fillId="10" borderId="9" xfId="2" applyNumberFormat="1" applyFont="1" applyFill="1" applyBorder="1" applyAlignment="1">
      <alignment horizontal="center" vertical="center"/>
    </xf>
    <xf numFmtId="14" fontId="20" fillId="11" borderId="9" xfId="0" applyNumberFormat="1" applyFont="1" applyFill="1" applyBorder="1" applyAlignment="1">
      <alignment horizontal="center" vertical="center" wrapText="1"/>
    </xf>
    <xf numFmtId="0" fontId="20" fillId="11" borderId="9" xfId="0" applyFont="1" applyFill="1" applyBorder="1" applyAlignment="1">
      <alignment horizontal="center" vertical="center" wrapText="1"/>
    </xf>
    <xf numFmtId="14" fontId="20" fillId="11" borderId="9" xfId="2" applyNumberFormat="1" applyFont="1" applyFill="1" applyBorder="1" applyAlignment="1">
      <alignment horizontal="center" vertical="center"/>
    </xf>
    <xf numFmtId="14" fontId="20" fillId="11" borderId="9" xfId="8" applyFont="1" applyFill="1" applyBorder="1">
      <alignment horizontal="center" vertical="center"/>
    </xf>
    <xf numFmtId="1" fontId="20" fillId="11" borderId="9" xfId="2" applyNumberFormat="1" applyFont="1" applyFill="1" applyBorder="1" applyAlignment="1">
      <alignment horizontal="center" vertical="center"/>
    </xf>
    <xf numFmtId="0" fontId="24" fillId="0" borderId="9" xfId="0" applyFont="1" applyBorder="1" applyAlignment="1">
      <alignment vertical="center" wrapText="1"/>
    </xf>
    <xf numFmtId="165" fontId="20" fillId="11" borderId="9" xfId="2" applyFont="1" applyFill="1" applyBorder="1" applyAlignment="1">
      <alignment horizontal="center" vertical="center"/>
    </xf>
    <xf numFmtId="0" fontId="18" fillId="11" borderId="9" xfId="0" applyFont="1" applyFill="1" applyBorder="1" applyAlignment="1">
      <alignment horizontal="center" vertical="center" wrapText="1"/>
    </xf>
    <xf numFmtId="0" fontId="18" fillId="11" borderId="9" xfId="0" applyFont="1" applyFill="1" applyBorder="1" applyAlignment="1">
      <alignment vertical="center" wrapText="1"/>
    </xf>
    <xf numFmtId="0" fontId="9" fillId="0" borderId="0" xfId="0" applyFont="1" applyAlignment="1">
      <alignment horizontal="left" vertical="center" wrapText="1" indent="1"/>
    </xf>
    <xf numFmtId="0" fontId="9" fillId="0" borderId="0" xfId="0" applyFont="1" applyAlignment="1">
      <alignment horizontal="center" vertical="center"/>
    </xf>
    <xf numFmtId="14" fontId="9" fillId="0" borderId="0" xfId="8" applyFont="1" applyFill="1">
      <alignment horizontal="center" vertical="center"/>
    </xf>
    <xf numFmtId="37" fontId="9" fillId="0" borderId="0" xfId="10" applyFont="1" applyFill="1">
      <alignment horizontal="center" vertical="center"/>
    </xf>
    <xf numFmtId="14" fontId="9" fillId="0" borderId="0" xfId="10" applyNumberFormat="1" applyFont="1" applyFill="1">
      <alignment horizontal="center" vertical="center"/>
    </xf>
    <xf numFmtId="0" fontId="0" fillId="0" borderId="0" xfId="0" applyAlignment="1">
      <alignment horizontal="center" vertical="center"/>
    </xf>
    <xf numFmtId="0" fontId="3" fillId="0" borderId="0" xfId="4"/>
    <xf numFmtId="0" fontId="26" fillId="0" borderId="0" xfId="0" applyFont="1"/>
    <xf numFmtId="0" fontId="0" fillId="0" borderId="0" xfId="0" applyAlignment="1">
      <alignment horizontal="center"/>
    </xf>
    <xf numFmtId="0" fontId="3" fillId="0" borderId="0" xfId="0" applyFont="1" applyAlignment="1">
      <alignment horizontal="center"/>
    </xf>
    <xf numFmtId="0" fontId="0" fillId="0" borderId="0" xfId="0" applyAlignment="1">
      <alignment horizontal="right" vertical="center"/>
    </xf>
    <xf numFmtId="0" fontId="28" fillId="0" borderId="0" xfId="11" applyFont="1" applyAlignment="1" applyProtection="1"/>
    <xf numFmtId="14" fontId="20" fillId="13" borderId="9" xfId="2" applyNumberFormat="1" applyFont="1" applyFill="1" applyBorder="1" applyAlignment="1">
      <alignment horizontal="center" vertical="center"/>
    </xf>
    <xf numFmtId="0" fontId="22" fillId="11" borderId="9" xfId="0" applyFont="1" applyFill="1" applyBorder="1" applyAlignment="1">
      <alignment horizontal="left" wrapText="1" indent="1"/>
    </xf>
    <xf numFmtId="165" fontId="20" fillId="11" borderId="9" xfId="2" applyFont="1" applyFill="1" applyBorder="1" applyAlignment="1">
      <alignment horizontal="center" vertical="center" wrapText="1"/>
    </xf>
    <xf numFmtId="165" fontId="20" fillId="0" borderId="9" xfId="2" applyFont="1" applyFill="1" applyBorder="1" applyAlignment="1">
      <alignment horizontal="center" vertical="center" wrapText="1"/>
    </xf>
    <xf numFmtId="9" fontId="19" fillId="0" borderId="9" xfId="9" applyFont="1" applyFill="1" applyBorder="1">
      <alignment horizontal="center" vertical="center"/>
    </xf>
    <xf numFmtId="0" fontId="5" fillId="3" borderId="0" xfId="5" applyFont="1" applyFill="1" applyAlignment="1">
      <alignment horizontal="center" vertical="center" wrapText="1"/>
    </xf>
    <xf numFmtId="0" fontId="10" fillId="4" borderId="0" xfId="3" applyFont="1" applyFill="1" applyAlignment="1">
      <alignment horizontal="center" vertical="center"/>
    </xf>
    <xf numFmtId="0" fontId="11" fillId="5" borderId="0" xfId="0" applyFont="1" applyFill="1" applyAlignment="1">
      <alignment horizontal="center" vertical="center"/>
    </xf>
    <xf numFmtId="0" fontId="10" fillId="6" borderId="0" xfId="0" applyFont="1" applyFill="1" applyAlignment="1">
      <alignment horizontal="center" vertical="center"/>
    </xf>
    <xf numFmtId="0" fontId="10" fillId="7" borderId="0" xfId="0" applyFont="1" applyFill="1" applyAlignment="1">
      <alignment horizontal="center" vertical="center"/>
    </xf>
    <xf numFmtId="0" fontId="11" fillId="8" borderId="0" xfId="0" applyFont="1" applyFill="1" applyAlignment="1">
      <alignment horizontal="center" vertical="center" wrapText="1"/>
    </xf>
    <xf numFmtId="167" fontId="9" fillId="13" borderId="9" xfId="10" applyNumberFormat="1" applyFont="1" applyFill="1" applyBorder="1">
      <alignment horizontal="center" vertical="center"/>
    </xf>
    <xf numFmtId="0" fontId="20" fillId="12" borderId="9" xfId="0" applyFont="1" applyFill="1" applyBorder="1" applyAlignment="1">
      <alignment horizontal="center" vertical="center" wrapText="1"/>
    </xf>
    <xf numFmtId="0" fontId="20" fillId="12" borderId="9" xfId="0" quotePrefix="1" applyFont="1" applyFill="1" applyBorder="1" applyAlignment="1">
      <alignment wrapText="1"/>
    </xf>
    <xf numFmtId="0" fontId="20" fillId="12" borderId="9" xfId="0" quotePrefix="1" applyFont="1" applyFill="1" applyBorder="1" applyAlignment="1">
      <alignment horizontal="left" wrapText="1" indent="1"/>
    </xf>
    <xf numFmtId="0" fontId="22" fillId="12" borderId="9" xfId="0" quotePrefix="1" applyFont="1" applyFill="1" applyBorder="1" applyAlignment="1">
      <alignment horizontal="left" wrapText="1" indent="1"/>
    </xf>
    <xf numFmtId="0" fontId="22" fillId="12" borderId="9" xfId="0" applyFont="1" applyFill="1" applyBorder="1" applyAlignment="1">
      <alignment horizontal="left" wrapText="1" indent="1"/>
    </xf>
    <xf numFmtId="0" fontId="20" fillId="12" borderId="9" xfId="0" quotePrefix="1" applyFont="1" applyFill="1" applyBorder="1" applyAlignment="1">
      <alignment horizontal="left" wrapText="1"/>
    </xf>
    <xf numFmtId="14" fontId="20" fillId="15" borderId="9" xfId="8" applyFont="1" applyFill="1" applyBorder="1">
      <alignment horizontal="center" vertical="center"/>
    </xf>
    <xf numFmtId="167" fontId="9" fillId="15" borderId="9" xfId="10" applyNumberFormat="1" applyFont="1" applyFill="1" applyBorder="1">
      <alignment horizontal="center" vertical="center"/>
    </xf>
    <xf numFmtId="14" fontId="20" fillId="15" borderId="9" xfId="2" applyNumberFormat="1" applyFont="1" applyFill="1" applyBorder="1" applyAlignment="1">
      <alignment horizontal="center" vertical="center"/>
    </xf>
  </cellXfs>
  <cellStyles count="12">
    <cellStyle name="Accent3" xfId="3" builtinId="37"/>
    <cellStyle name="Comma" xfId="1" builtinId="3"/>
    <cellStyle name="Comma [0]" xfId="2" builtinId="6"/>
    <cellStyle name="Comma [0] 2" xfId="10" xr:uid="{7928AD5E-7E5A-426C-B6C7-A73ACEB526C3}"/>
    <cellStyle name="Date" xfId="8" xr:uid="{C5F16DAC-A6A4-4431-B680-C9B5C414F300}"/>
    <cellStyle name="Heading 1 2" xfId="6" xr:uid="{62CE1031-DEF0-40E8-BA5D-0F05BB44BBBB}"/>
    <cellStyle name="Heading 3 2" xfId="7" xr:uid="{797D33AC-52F6-43EE-92EE-B3A9DADF1B13}"/>
    <cellStyle name="Hyperlink" xfId="11" builtinId="8"/>
    <cellStyle name="Normal" xfId="0" builtinId="0"/>
    <cellStyle name="Percent 2" xfId="9" xr:uid="{1E9793A5-5C77-4B27-A1C4-04DDDD146D00}"/>
    <cellStyle name="Title 2" xfId="5" xr:uid="{823ADA72-3D5E-498F-9141-CE9C48A66955}"/>
    <cellStyle name="zHiddenText" xfId="4" xr:uid="{0C66C014-4131-475E-A3A0-CF61483CF8A2}"/>
  </cellStyles>
  <dxfs count="47">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9" tint="0.39994506668294322"/>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9" tint="0.39994506668294322"/>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val="0"/>
        <i val="0"/>
        <strike val="0"/>
        <condense val="0"/>
        <extend val="0"/>
        <outline val="0"/>
        <shadow val="0"/>
        <u val="none"/>
        <vertAlign val="baseline"/>
        <sz val="11"/>
        <color auto="1"/>
        <name val="Calibri"/>
        <family val="2"/>
        <scheme val="minor"/>
      </font>
      <numFmt numFmtId="167" formatCode="dd/mm/yy"/>
      <fill>
        <patternFill patternType="none">
          <fgColor indexed="64"/>
          <bgColor indexed="65"/>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font>
        <b val="0"/>
        <i val="0"/>
        <strike val="0"/>
        <condense val="0"/>
        <extend val="0"/>
        <outline val="0"/>
        <shadow val="0"/>
        <u val="none"/>
        <vertAlign val="baseline"/>
        <sz val="11"/>
        <color auto="1"/>
        <name val="Calibri"/>
        <family val="2"/>
        <scheme val="minor"/>
      </font>
      <numFmt numFmtId="167" formatCode="dd/mm/yy"/>
      <fill>
        <patternFill patternType="none">
          <fgColor indexed="64"/>
          <bgColor indexed="65"/>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ToDoList" pivot="0" count="9" xr9:uid="{2DA5D9AA-2A53-4333-9C64-B23813E2F4EC}">
      <tableStyleElement type="wholeTable" dxfId="46"/>
      <tableStyleElement type="headerRow" dxfId="45"/>
      <tableStyleElement type="totalRow" dxfId="44"/>
      <tableStyleElement type="firstColumn" dxfId="43"/>
      <tableStyleElement type="lastColumn" dxfId="42"/>
      <tableStyleElement type="firstRowStripe" dxfId="41"/>
      <tableStyleElement type="secondRowStripe" dxfId="40"/>
      <tableStyleElement type="firstColumnStripe" dxfId="39"/>
      <tableStyleElement type="secondColumnStripe" dxfId="3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39" fmlaLink="$C$4" horiz="1" max="365" page="2" val="365"/>
</file>

<file path=xl/ctrlProps/ctrlProp2.xml><?xml version="1.0" encoding="utf-8"?>
<formControlPr xmlns="http://schemas.microsoft.com/office/spreadsheetml/2009/9/main" objectType="Scroll" dx="39" fmlaLink="$C$4" horiz="1" max="365" page="2" val="333"/>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xdr:colOff>
          <xdr:row>4</xdr:row>
          <xdr:rowOff>57150</xdr:rowOff>
        </xdr:from>
        <xdr:to>
          <xdr:col>64</xdr:col>
          <xdr:colOff>228600</xdr:colOff>
          <xdr:row>4</xdr:row>
          <xdr:rowOff>238125</xdr:rowOff>
        </xdr:to>
        <xdr:sp macro="" textlink="">
          <xdr:nvSpPr>
            <xdr:cNvPr id="2049" name="Scroll Bar 1" descr="Scroll bar to scroll through the Ghantt project timeline." hidden="1">
              <a:extLst>
                <a:ext uri="{63B3BB69-23CF-44E3-9099-C40C66FF867C}">
                  <a14:compatExt spid="_x0000_s2049"/>
                </a:ext>
                <a:ext uri="{FF2B5EF4-FFF2-40B4-BE49-F238E27FC236}">
                  <a16:creationId xmlns:a16="http://schemas.microsoft.com/office/drawing/2014/main" id="{8B58F684-741B-494F-883D-920463F9E7CF}"/>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xdr:colOff>
          <xdr:row>4</xdr:row>
          <xdr:rowOff>57150</xdr:rowOff>
        </xdr:from>
        <xdr:to>
          <xdr:col>64</xdr:col>
          <xdr:colOff>228600</xdr:colOff>
          <xdr:row>4</xdr:row>
          <xdr:rowOff>238125</xdr:rowOff>
        </xdr:to>
        <xdr:sp macro="" textlink="">
          <xdr:nvSpPr>
            <xdr:cNvPr id="1025" name="Scroll Bar 1" descr="Scroll bar to scroll through the Ghantt project timeline."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7379E2-22CF-4F37-8B56-AE74D516C498}" name="Milestones43524343" displayName="Milestones43524343" ref="B6:H167" totalsRowShown="0" headerRowDxfId="32">
  <autoFilter ref="B6:H167" xr:uid="{29E5A880-80D5-4B65-B5FB-8FB3913D3D2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8B2C0A-415B-4B52-95B2-E704381450EE}" name="NỘI DUNG" dataDxfId="31"/>
    <tableColumn id="2" xr3:uid="{0D452ACD-0454-4196-AB9B-694C71F0A7CF}" name="XẾP LOẠI" dataDxfId="30"/>
    <tableColumn id="3" xr3:uid="{659A6FD2-C65C-4A47-A5B3-57B80AA37DA7}" name="PHÂN CÔNG" dataDxfId="29"/>
    <tableColumn id="4" xr3:uid="{C5EA6677-5B45-47B4-B105-12EDF16E7A11}" name="XỬ LÝ"/>
    <tableColumn id="5" xr3:uid="{684F7670-6A02-46BC-861C-5DF62E0A9FA2}" name="BẮT ĐẦU" dataCellStyle="Date"/>
    <tableColumn id="6" xr3:uid="{6DB9AF3C-1B8C-48B1-B5F2-031E94F1F2FF}" name="NGÀY" dataCellStyle="Comma [0]"/>
    <tableColumn id="8" xr3:uid="{9D1B3E7C-9063-445B-915C-95BC0ECF536D}" name="KẾT THÚC" dataDxfId="28" dataCellStyle="Comma [0] 2">
      <calculatedColumnFormula>Milestones43524343[[#This Row],[BẮT ĐẦU]]+Milestones43524343[[#This Row],[NGÀY]]</calculatedColumnFormula>
    </tableColumn>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ACA014-23C3-4CC0-85CB-B2A552179144}" name="Milestones4352434" displayName="Milestones4352434" ref="B6:H117" totalsRowShown="0" headerRowDxfId="37">
  <autoFilter ref="B6:H117" xr:uid="{29E5A880-80D5-4B65-B5FB-8FB3913D3D2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1820338-8ECF-4B56-9C3A-0FB647969D28}" name="NỘI DUNG" dataDxfId="36"/>
    <tableColumn id="2" xr3:uid="{7FD6582C-B794-400A-A8C0-92067A07CBA0}" name="XẾP LOẠI" dataDxfId="35"/>
    <tableColumn id="3" xr3:uid="{2C20E16B-7207-4601-96D7-065DA810DF31}" name="PHÂN CÔNG" dataDxfId="34"/>
    <tableColumn id="4" xr3:uid="{5D90887F-88FC-4C3D-96D0-E8AF348E8B54}" name="XỬ LÝ"/>
    <tableColumn id="5" xr3:uid="{33882A03-8A57-443A-8DE1-A65D1EEE8F0A}" name="BẮT ĐẦU" dataCellStyle="Date"/>
    <tableColumn id="6" xr3:uid="{34B803F6-3047-425E-A032-6C208EC377A4}" name="NGÀY" dataCellStyle="Comma [0]"/>
    <tableColumn id="8" xr3:uid="{7859480A-A054-46EA-8B6F-969C484A1603}" name="KẾT THÚC" dataDxfId="33" dataCellStyle="Comma [0] 2">
      <calculatedColumnFormula>Milestones4352434[[#This Row],[BẮT ĐẦU]]+Milestones4352434[[#This Row],[NGÀY]]</calculatedColumnFormula>
    </tableColumn>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2.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656FB-60AC-410F-A726-CA615E49CFEA}">
  <sheetPr>
    <pageSetUpPr fitToPage="1"/>
  </sheetPr>
  <dimension ref="A1:BN169"/>
  <sheetViews>
    <sheetView showGridLines="0" tabSelected="1" showRuler="0" topLeftCell="A3" zoomScale="85" zoomScaleNormal="85" zoomScalePageLayoutView="70" workbookViewId="0">
      <pane xSplit="1" ySplit="43" topLeftCell="B108" activePane="bottomRight" state="frozen"/>
      <selection activeCell="A3" sqref="A3"/>
      <selection pane="topRight" activeCell="B3" sqref="B3"/>
      <selection pane="bottomLeft" activeCell="A46" sqref="A46"/>
      <selection pane="bottomRight" activeCell="E129" sqref="E129"/>
    </sheetView>
  </sheetViews>
  <sheetFormatPr defaultColWidth="8.85546875" defaultRowHeight="30" customHeight="1" outlineLevelRow="1" x14ac:dyDescent="0.25"/>
  <cols>
    <col min="1" max="1" width="9" style="110" customWidth="1"/>
    <col min="2" max="2" width="37.28515625" customWidth="1"/>
    <col min="3" max="3" width="13.28515625" bestFit="1" customWidth="1"/>
    <col min="4" max="4" width="20.5703125" customWidth="1"/>
    <col min="5" max="5" width="15.7109375" customWidth="1"/>
    <col min="6" max="6" width="12" style="112" customWidth="1"/>
    <col min="7" max="7" width="10.42578125" customWidth="1"/>
    <col min="8" max="8" width="11.85546875" customWidth="1"/>
    <col min="9" max="9" width="2.7109375" customWidth="1"/>
    <col min="10" max="65" width="3.5703125" customWidth="1"/>
    <col min="66" max="66" width="2.7109375" customWidth="1"/>
  </cols>
  <sheetData>
    <row r="1" spans="1:66" ht="37.5" customHeight="1" x14ac:dyDescent="0.25">
      <c r="A1" s="1"/>
      <c r="B1" s="121" t="s">
        <v>0</v>
      </c>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2"/>
    </row>
    <row r="2" spans="1:66" ht="30" customHeight="1" x14ac:dyDescent="0.25">
      <c r="A2" s="1"/>
      <c r="B2" s="3"/>
      <c r="C2" s="4"/>
      <c r="D2" s="5"/>
      <c r="E2" s="6"/>
      <c r="F2" s="7"/>
      <c r="G2" s="8" t="s">
        <v>1</v>
      </c>
      <c r="H2" s="8"/>
      <c r="I2" s="6"/>
      <c r="J2" s="122" t="s">
        <v>2</v>
      </c>
      <c r="K2" s="122"/>
      <c r="L2" s="122"/>
      <c r="M2" s="122"/>
      <c r="O2" s="123" t="s">
        <v>3</v>
      </c>
      <c r="P2" s="123"/>
      <c r="Q2" s="123"/>
      <c r="R2" s="123"/>
      <c r="T2" s="124" t="s">
        <v>4</v>
      </c>
      <c r="U2" s="124"/>
      <c r="V2" s="124"/>
      <c r="W2" s="124"/>
      <c r="Y2" s="125" t="s">
        <v>5</v>
      </c>
      <c r="Z2" s="125"/>
      <c r="AA2" s="125"/>
      <c r="AB2" s="125"/>
      <c r="AD2" s="126" t="s">
        <v>6</v>
      </c>
      <c r="AE2" s="126"/>
      <c r="AF2" s="126"/>
      <c r="AG2" s="126"/>
    </row>
    <row r="3" spans="1:66" ht="30" customHeight="1" x14ac:dyDescent="0.35">
      <c r="A3" s="1"/>
      <c r="B3" s="9" t="s">
        <v>7</v>
      </c>
      <c r="C3" s="10">
        <v>45838</v>
      </c>
      <c r="D3" s="11"/>
      <c r="E3" s="6"/>
      <c r="F3" s="7"/>
      <c r="G3" s="6"/>
      <c r="H3" s="6"/>
      <c r="I3" s="6"/>
      <c r="J3" s="12" t="str">
        <f ca="1">TEXT(J4,"mmmm")</f>
        <v>July</v>
      </c>
      <c r="K3" s="12"/>
      <c r="L3" s="12"/>
      <c r="M3" s="12"/>
      <c r="N3" s="12"/>
      <c r="O3" s="12"/>
      <c r="P3" s="12"/>
      <c r="Q3" s="12" t="str">
        <f ca="1">IF(TEXT(Q4,"mmmm")=J3,"",TEXT(Q4,"mmmm"))</f>
        <v>August</v>
      </c>
      <c r="R3" s="12"/>
      <c r="S3" s="12"/>
      <c r="T3" s="12"/>
      <c r="U3" s="12"/>
      <c r="V3" s="12"/>
      <c r="W3" s="12"/>
      <c r="X3" s="12" t="str">
        <f ca="1">IF(OR(TEXT(X4,"mmmm")=Q3,TEXT(X4,"mmmm")=J3),"",TEXT(X4,"mmmm"))</f>
        <v/>
      </c>
      <c r="Y3" s="12"/>
      <c r="Z3" s="12"/>
      <c r="AA3" s="12"/>
      <c r="AB3" s="12"/>
      <c r="AC3" s="12"/>
      <c r="AD3" s="12"/>
      <c r="AE3" s="12" t="str">
        <f ca="1">IF(OR(TEXT(AE4,"mmmm")=X3,TEXT(AE4,"mmmm")=Q3,TEXT(AE4,"mmmm")=J3),"",TEXT(AE4,"mmmm"))</f>
        <v/>
      </c>
      <c r="AF3" s="12"/>
      <c r="AG3" s="12"/>
      <c r="AH3" s="12"/>
      <c r="AI3" s="12"/>
      <c r="AJ3" s="12"/>
      <c r="AK3" s="12"/>
      <c r="AL3" s="12" t="str">
        <f ca="1">IF(OR(TEXT(AL4,"mmmm")=AE3,TEXT(AL4,"mmmm")=X3,TEXT(AL4,"mmmm")=Q3,TEXT(AL4,"mmmm")=J3),"",TEXT(AL4,"mmmm"))</f>
        <v/>
      </c>
      <c r="AM3" s="12"/>
      <c r="AN3" s="12"/>
      <c r="AO3" s="12"/>
      <c r="AP3" s="12"/>
      <c r="AQ3" s="12"/>
      <c r="AR3" s="12"/>
      <c r="AS3" s="12" t="str">
        <f ca="1">IF(OR(TEXT(AS4,"mmmm")=AL3,TEXT(AS4,"mmmm")=AE3,TEXT(AS4,"mmmm")=X3,TEXT(AS4,"mmmm")=Q3),"",TEXT(AS4,"mmmm"))</f>
        <v/>
      </c>
      <c r="AT3" s="12"/>
      <c r="AU3" s="12"/>
      <c r="AV3" s="12"/>
      <c r="AW3" s="12"/>
      <c r="AX3" s="12"/>
      <c r="AY3" s="13"/>
      <c r="AZ3" s="13" t="str">
        <f ca="1">IF(OR(TEXT(AZ4,"mmmm")=AS3,TEXT(AZ4,"mmmm")=AL3,TEXT(AZ4,"mmmm")=AE3,TEXT(AZ4,"mmmm")=X3),"",TEXT(AZ4,"mmmm"))</f>
        <v>September</v>
      </c>
      <c r="BA3" s="13"/>
      <c r="BB3" s="13"/>
      <c r="BC3" s="14"/>
      <c r="BD3" s="15"/>
      <c r="BE3" s="15"/>
      <c r="BF3" s="15"/>
      <c r="BG3" s="15" t="str">
        <f ca="1">IF(OR(TEXT(BG4,"mmmm")=AZ3,TEXT(BG4,"mmmm")=AS3,TEXT(BG4,"mmmm")=AL3,TEXT(BG4,"mmmm")=AE3),"",TEXT(BG4,"mmmm"))</f>
        <v/>
      </c>
      <c r="BH3" s="15"/>
      <c r="BI3" s="15"/>
      <c r="BJ3" s="15"/>
      <c r="BK3" s="15"/>
      <c r="BL3" s="15"/>
      <c r="BM3" s="15"/>
    </row>
    <row r="4" spans="1:66" ht="30" customHeight="1" x14ac:dyDescent="0.25">
      <c r="A4" s="1"/>
      <c r="B4" s="9" t="s">
        <v>8</v>
      </c>
      <c r="C4" s="16">
        <v>390</v>
      </c>
      <c r="D4" s="5"/>
      <c r="E4" s="6"/>
      <c r="F4" s="6"/>
      <c r="G4" s="6"/>
      <c r="H4" s="6"/>
      <c r="I4" s="17"/>
      <c r="J4" s="18">
        <f ca="1">IFERROR(Project_Start+Scrolling_Increment,TODAY())</f>
        <v>46228</v>
      </c>
      <c r="K4" s="19">
        <f ca="1">J4+1</f>
        <v>46229</v>
      </c>
      <c r="L4" s="19">
        <f t="shared" ref="L4:AY4" ca="1" si="0">K4+1</f>
        <v>46230</v>
      </c>
      <c r="M4" s="19">
        <f t="shared" ca="1" si="0"/>
        <v>46231</v>
      </c>
      <c r="N4" s="19">
        <f t="shared" ca="1" si="0"/>
        <v>46232</v>
      </c>
      <c r="O4" s="19">
        <f t="shared" ca="1" si="0"/>
        <v>46233</v>
      </c>
      <c r="P4" s="20">
        <f t="shared" ca="1" si="0"/>
        <v>46234</v>
      </c>
      <c r="Q4" s="19">
        <f ca="1">P4+1</f>
        <v>46235</v>
      </c>
      <c r="R4" s="19">
        <f ca="1">Q4+1</f>
        <v>46236</v>
      </c>
      <c r="S4" s="19">
        <f t="shared" ca="1" si="0"/>
        <v>46237</v>
      </c>
      <c r="T4" s="19">
        <f t="shared" ca="1" si="0"/>
        <v>46238</v>
      </c>
      <c r="U4" s="19">
        <f t="shared" ca="1" si="0"/>
        <v>46239</v>
      </c>
      <c r="V4" s="19">
        <f t="shared" ca="1" si="0"/>
        <v>46240</v>
      </c>
      <c r="W4" s="20">
        <f t="shared" ca="1" si="0"/>
        <v>46241</v>
      </c>
      <c r="X4" s="19">
        <f ca="1">W4+1</f>
        <v>46242</v>
      </c>
      <c r="Y4" s="19">
        <f ca="1">X4+1</f>
        <v>46243</v>
      </c>
      <c r="Z4" s="19">
        <f t="shared" ca="1" si="0"/>
        <v>46244</v>
      </c>
      <c r="AA4" s="19">
        <f t="shared" ca="1" si="0"/>
        <v>46245</v>
      </c>
      <c r="AB4" s="19">
        <f t="shared" ca="1" si="0"/>
        <v>46246</v>
      </c>
      <c r="AC4" s="19">
        <f t="shared" ca="1" si="0"/>
        <v>46247</v>
      </c>
      <c r="AD4" s="20">
        <f t="shared" ca="1" si="0"/>
        <v>46248</v>
      </c>
      <c r="AE4" s="19">
        <f ca="1">AD4+1</f>
        <v>46249</v>
      </c>
      <c r="AF4" s="19">
        <f ca="1">AE4+1</f>
        <v>46250</v>
      </c>
      <c r="AG4" s="19">
        <f t="shared" ca="1" si="0"/>
        <v>46251</v>
      </c>
      <c r="AH4" s="19">
        <f t="shared" ca="1" si="0"/>
        <v>46252</v>
      </c>
      <c r="AI4" s="19">
        <f t="shared" ca="1" si="0"/>
        <v>46253</v>
      </c>
      <c r="AJ4" s="19">
        <f t="shared" ca="1" si="0"/>
        <v>46254</v>
      </c>
      <c r="AK4" s="20">
        <f t="shared" ca="1" si="0"/>
        <v>46255</v>
      </c>
      <c r="AL4" s="19">
        <f ca="1">AK4+1</f>
        <v>46256</v>
      </c>
      <c r="AM4" s="19">
        <f ca="1">AL4+1</f>
        <v>46257</v>
      </c>
      <c r="AN4" s="19">
        <f t="shared" ca="1" si="0"/>
        <v>46258</v>
      </c>
      <c r="AO4" s="19">
        <f t="shared" ca="1" si="0"/>
        <v>46259</v>
      </c>
      <c r="AP4" s="19">
        <f t="shared" ca="1" si="0"/>
        <v>46260</v>
      </c>
      <c r="AQ4" s="19">
        <f t="shared" ca="1" si="0"/>
        <v>46261</v>
      </c>
      <c r="AR4" s="20">
        <f t="shared" ca="1" si="0"/>
        <v>46262</v>
      </c>
      <c r="AS4" s="19">
        <f ca="1">AR4+1</f>
        <v>46263</v>
      </c>
      <c r="AT4" s="19">
        <f ca="1">AS4+1</f>
        <v>46264</v>
      </c>
      <c r="AU4" s="19">
        <f t="shared" ca="1" si="0"/>
        <v>46265</v>
      </c>
      <c r="AV4" s="19">
        <f t="shared" ca="1" si="0"/>
        <v>46266</v>
      </c>
      <c r="AW4" s="19">
        <f t="shared" ca="1" si="0"/>
        <v>46267</v>
      </c>
      <c r="AX4" s="19">
        <f t="shared" ca="1" si="0"/>
        <v>46268</v>
      </c>
      <c r="AY4" s="20">
        <f t="shared" ca="1" si="0"/>
        <v>46269</v>
      </c>
      <c r="AZ4" s="19">
        <f ca="1">AY4+1</f>
        <v>46270</v>
      </c>
      <c r="BA4" s="19">
        <f ca="1">AZ4+1</f>
        <v>46271</v>
      </c>
      <c r="BB4" s="19">
        <f t="shared" ref="BB4:BF4" ca="1" si="1">BA4+1</f>
        <v>46272</v>
      </c>
      <c r="BC4" s="19">
        <f t="shared" ca="1" si="1"/>
        <v>46273</v>
      </c>
      <c r="BD4" s="19">
        <f t="shared" ca="1" si="1"/>
        <v>46274</v>
      </c>
      <c r="BE4" s="19">
        <f t="shared" ca="1" si="1"/>
        <v>46275</v>
      </c>
      <c r="BF4" s="20">
        <f t="shared" ca="1" si="1"/>
        <v>46276</v>
      </c>
      <c r="BG4" s="19">
        <f ca="1">BF4+1</f>
        <v>46277</v>
      </c>
      <c r="BH4" s="19">
        <f ca="1">BG4+1</f>
        <v>46278</v>
      </c>
      <c r="BI4" s="19">
        <f t="shared" ref="BI4:BM4" ca="1" si="2">BH4+1</f>
        <v>46279</v>
      </c>
      <c r="BJ4" s="19">
        <f t="shared" ca="1" si="2"/>
        <v>46280</v>
      </c>
      <c r="BK4" s="19">
        <f t="shared" ca="1" si="2"/>
        <v>46281</v>
      </c>
      <c r="BL4" s="19">
        <f t="shared" ca="1" si="2"/>
        <v>46282</v>
      </c>
      <c r="BM4" s="20">
        <f t="shared" ca="1" si="2"/>
        <v>46283</v>
      </c>
    </row>
    <row r="5" spans="1:66" ht="19.899999999999999" customHeight="1" x14ac:dyDescent="0.25">
      <c r="A5" s="1"/>
      <c r="B5" s="5"/>
      <c r="C5" s="5"/>
      <c r="D5" s="5"/>
      <c r="E5" s="6"/>
      <c r="F5" s="6"/>
      <c r="G5" s="6"/>
      <c r="H5" s="6"/>
      <c r="I5" s="17"/>
      <c r="J5" s="21"/>
      <c r="K5" s="22"/>
      <c r="L5" s="22"/>
      <c r="M5" s="22"/>
      <c r="N5" s="22"/>
      <c r="O5" s="22"/>
      <c r="P5" s="22"/>
      <c r="Q5" s="23"/>
      <c r="R5" s="22"/>
      <c r="S5" s="22"/>
      <c r="T5" s="22"/>
      <c r="U5" s="22"/>
      <c r="V5" s="22"/>
      <c r="W5" s="24"/>
      <c r="X5" s="22"/>
      <c r="Y5" s="22"/>
      <c r="Z5" s="22"/>
      <c r="AA5" s="22"/>
      <c r="AB5" s="22"/>
      <c r="AC5" s="22"/>
      <c r="AD5" s="24"/>
      <c r="AE5" s="22"/>
      <c r="AF5" s="22"/>
      <c r="AG5" s="22"/>
      <c r="AH5" s="22"/>
      <c r="AI5" s="22"/>
      <c r="AJ5" s="22"/>
      <c r="AK5" s="24"/>
      <c r="AL5" s="22"/>
      <c r="AM5" s="22"/>
      <c r="AN5" s="22"/>
      <c r="AO5" s="22"/>
      <c r="AP5" s="22"/>
      <c r="AQ5" s="22"/>
      <c r="AR5" s="24"/>
      <c r="AS5" s="22"/>
      <c r="AT5" s="22"/>
      <c r="AU5" s="22"/>
      <c r="AV5" s="22"/>
      <c r="AW5" s="22"/>
      <c r="AX5" s="22"/>
      <c r="AY5" s="24"/>
      <c r="AZ5" s="22"/>
      <c r="BA5" s="22"/>
      <c r="BB5" s="22"/>
      <c r="BC5" s="22"/>
      <c r="BD5" s="22"/>
      <c r="BE5" s="22"/>
      <c r="BF5" s="24"/>
      <c r="BG5" s="22"/>
      <c r="BH5" s="22"/>
      <c r="BI5" s="22"/>
      <c r="BJ5" s="22"/>
      <c r="BK5" s="22"/>
      <c r="BL5" s="22"/>
      <c r="BM5" s="25"/>
    </row>
    <row r="6" spans="1:66" ht="40.15" customHeight="1" x14ac:dyDescent="0.25">
      <c r="A6" s="26" t="s">
        <v>9</v>
      </c>
      <c r="B6" s="26" t="s">
        <v>10</v>
      </c>
      <c r="C6" s="27" t="s">
        <v>11</v>
      </c>
      <c r="D6" s="27" t="s">
        <v>12</v>
      </c>
      <c r="E6" s="27" t="s">
        <v>13</v>
      </c>
      <c r="F6" s="27" t="s">
        <v>14</v>
      </c>
      <c r="G6" s="27" t="s">
        <v>15</v>
      </c>
      <c r="H6" s="27" t="s">
        <v>16</v>
      </c>
      <c r="I6" s="28"/>
      <c r="J6" s="29" t="str">
        <f t="shared" ref="J6:BM6" ca="1" si="3">LEFT(TEXT(J4,"ddd"),1)</f>
        <v>S</v>
      </c>
      <c r="K6" s="29" t="str">
        <f t="shared" ca="1" si="3"/>
        <v>S</v>
      </c>
      <c r="L6" s="29" t="str">
        <f t="shared" ca="1" si="3"/>
        <v>M</v>
      </c>
      <c r="M6" s="29" t="str">
        <f t="shared" ca="1" si="3"/>
        <v>T</v>
      </c>
      <c r="N6" s="29" t="str">
        <f t="shared" ca="1" si="3"/>
        <v>W</v>
      </c>
      <c r="O6" s="29" t="str">
        <f t="shared" ca="1" si="3"/>
        <v>T</v>
      </c>
      <c r="P6" s="29" t="str">
        <f t="shared" ca="1" si="3"/>
        <v>F</v>
      </c>
      <c r="Q6" s="29" t="str">
        <f t="shared" ca="1" si="3"/>
        <v>S</v>
      </c>
      <c r="R6" s="29" t="str">
        <f t="shared" ca="1" si="3"/>
        <v>S</v>
      </c>
      <c r="S6" s="29" t="str">
        <f t="shared" ca="1" si="3"/>
        <v>M</v>
      </c>
      <c r="T6" s="29" t="str">
        <f t="shared" ca="1" si="3"/>
        <v>T</v>
      </c>
      <c r="U6" s="29" t="str">
        <f t="shared" ca="1" si="3"/>
        <v>W</v>
      </c>
      <c r="V6" s="29" t="str">
        <f t="shared" ca="1" si="3"/>
        <v>T</v>
      </c>
      <c r="W6" s="29" t="str">
        <f t="shared" ca="1" si="3"/>
        <v>F</v>
      </c>
      <c r="X6" s="29" t="str">
        <f t="shared" ca="1" si="3"/>
        <v>S</v>
      </c>
      <c r="Y6" s="29" t="str">
        <f t="shared" ca="1" si="3"/>
        <v>S</v>
      </c>
      <c r="Z6" s="29" t="str">
        <f t="shared" ca="1" si="3"/>
        <v>M</v>
      </c>
      <c r="AA6" s="29" t="str">
        <f t="shared" ca="1" si="3"/>
        <v>T</v>
      </c>
      <c r="AB6" s="29" t="str">
        <f t="shared" ca="1" si="3"/>
        <v>W</v>
      </c>
      <c r="AC6" s="29" t="str">
        <f t="shared" ca="1" si="3"/>
        <v>T</v>
      </c>
      <c r="AD6" s="29" t="str">
        <f t="shared" ca="1" si="3"/>
        <v>F</v>
      </c>
      <c r="AE6" s="29" t="str">
        <f t="shared" ca="1" si="3"/>
        <v>S</v>
      </c>
      <c r="AF6" s="29" t="str">
        <f t="shared" ca="1" si="3"/>
        <v>S</v>
      </c>
      <c r="AG6" s="29" t="str">
        <f t="shared" ca="1" si="3"/>
        <v>M</v>
      </c>
      <c r="AH6" s="29" t="str">
        <f t="shared" ca="1" si="3"/>
        <v>T</v>
      </c>
      <c r="AI6" s="29" t="str">
        <f t="shared" ca="1" si="3"/>
        <v>W</v>
      </c>
      <c r="AJ6" s="29" t="str">
        <f t="shared" ca="1" si="3"/>
        <v>T</v>
      </c>
      <c r="AK6" s="29" t="str">
        <f t="shared" ca="1" si="3"/>
        <v>F</v>
      </c>
      <c r="AL6" s="29" t="str">
        <f t="shared" ca="1" si="3"/>
        <v>S</v>
      </c>
      <c r="AM6" s="29" t="str">
        <f t="shared" ca="1" si="3"/>
        <v>S</v>
      </c>
      <c r="AN6" s="29" t="str">
        <f t="shared" ca="1" si="3"/>
        <v>M</v>
      </c>
      <c r="AO6" s="29" t="str">
        <f t="shared" ca="1" si="3"/>
        <v>T</v>
      </c>
      <c r="AP6" s="29" t="str">
        <f t="shared" ca="1" si="3"/>
        <v>W</v>
      </c>
      <c r="AQ6" s="29" t="str">
        <f t="shared" ca="1" si="3"/>
        <v>T</v>
      </c>
      <c r="AR6" s="29" t="str">
        <f t="shared" ca="1" si="3"/>
        <v>F</v>
      </c>
      <c r="AS6" s="29" t="str">
        <f t="shared" ca="1" si="3"/>
        <v>S</v>
      </c>
      <c r="AT6" s="29" t="str">
        <f t="shared" ca="1" si="3"/>
        <v>S</v>
      </c>
      <c r="AU6" s="29" t="str">
        <f t="shared" ca="1" si="3"/>
        <v>M</v>
      </c>
      <c r="AV6" s="29" t="str">
        <f t="shared" ca="1" si="3"/>
        <v>T</v>
      </c>
      <c r="AW6" s="29" t="str">
        <f t="shared" ca="1" si="3"/>
        <v>W</v>
      </c>
      <c r="AX6" s="29" t="str">
        <f t="shared" ca="1" si="3"/>
        <v>T</v>
      </c>
      <c r="AY6" s="29" t="str">
        <f t="shared" ca="1" si="3"/>
        <v>F</v>
      </c>
      <c r="AZ6" s="29" t="str">
        <f t="shared" ca="1" si="3"/>
        <v>S</v>
      </c>
      <c r="BA6" s="29" t="str">
        <f t="shared" ca="1" si="3"/>
        <v>S</v>
      </c>
      <c r="BB6" s="29" t="str">
        <f t="shared" ca="1" si="3"/>
        <v>M</v>
      </c>
      <c r="BC6" s="29" t="str">
        <f t="shared" ca="1" si="3"/>
        <v>T</v>
      </c>
      <c r="BD6" s="29" t="str">
        <f t="shared" ca="1" si="3"/>
        <v>W</v>
      </c>
      <c r="BE6" s="29" t="str">
        <f t="shared" ca="1" si="3"/>
        <v>T</v>
      </c>
      <c r="BF6" s="29" t="str">
        <f t="shared" ca="1" si="3"/>
        <v>F</v>
      </c>
      <c r="BG6" s="29" t="str">
        <f t="shared" ca="1" si="3"/>
        <v>S</v>
      </c>
      <c r="BH6" s="29" t="str">
        <f t="shared" ca="1" si="3"/>
        <v>S</v>
      </c>
      <c r="BI6" s="29" t="str">
        <f t="shared" ca="1" si="3"/>
        <v>M</v>
      </c>
      <c r="BJ6" s="29" t="str">
        <f t="shared" ca="1" si="3"/>
        <v>T</v>
      </c>
      <c r="BK6" s="29" t="str">
        <f t="shared" ca="1" si="3"/>
        <v>W</v>
      </c>
      <c r="BL6" s="29" t="str">
        <f t="shared" ca="1" si="3"/>
        <v>T</v>
      </c>
      <c r="BM6" s="29" t="str">
        <f t="shared" ca="1" si="3"/>
        <v>F</v>
      </c>
    </row>
    <row r="7" spans="1:66" ht="15" hidden="1" outlineLevel="1" x14ac:dyDescent="0.25">
      <c r="A7" s="30" t="s">
        <v>17</v>
      </c>
      <c r="B7" s="31" t="s">
        <v>18</v>
      </c>
      <c r="C7" s="32"/>
      <c r="D7" s="33" t="s">
        <v>19</v>
      </c>
      <c r="E7" s="34">
        <v>1</v>
      </c>
      <c r="F7" s="35" t="s">
        <v>20</v>
      </c>
      <c r="G7" s="35" t="s">
        <v>20</v>
      </c>
      <c r="H7" s="35" t="s">
        <v>20</v>
      </c>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row>
    <row r="8" spans="1:66" ht="28.5" hidden="1" outlineLevel="1" x14ac:dyDescent="0.25">
      <c r="A8" s="37">
        <v>1</v>
      </c>
      <c r="B8" s="38" t="s">
        <v>21</v>
      </c>
      <c r="C8" s="39"/>
      <c r="D8" s="40"/>
      <c r="E8" s="41">
        <v>1</v>
      </c>
      <c r="F8" s="42" t="s">
        <v>20</v>
      </c>
      <c r="G8" s="42" t="s">
        <v>20</v>
      </c>
      <c r="H8" s="42" t="s">
        <v>20</v>
      </c>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row>
    <row r="9" spans="1:66" ht="15" hidden="1" outlineLevel="1" x14ac:dyDescent="0.25">
      <c r="A9" s="44" t="s">
        <v>22</v>
      </c>
      <c r="B9" s="45" t="s">
        <v>23</v>
      </c>
      <c r="C9" s="46"/>
      <c r="D9" s="47"/>
      <c r="E9" s="48">
        <v>1</v>
      </c>
      <c r="F9" s="49" t="s">
        <v>20</v>
      </c>
      <c r="G9" s="49" t="s">
        <v>20</v>
      </c>
      <c r="H9" s="49" t="s">
        <v>20</v>
      </c>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row>
    <row r="10" spans="1:66" ht="15" hidden="1" outlineLevel="1" x14ac:dyDescent="0.25">
      <c r="A10" s="50" t="s">
        <v>24</v>
      </c>
      <c r="B10" s="51" t="s">
        <v>25</v>
      </c>
      <c r="C10" s="46"/>
      <c r="D10" s="51"/>
      <c r="E10" s="48">
        <v>1</v>
      </c>
      <c r="F10" s="49" t="s">
        <v>20</v>
      </c>
      <c r="G10" s="49" t="s">
        <v>20</v>
      </c>
      <c r="H10" s="49" t="s">
        <v>20</v>
      </c>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row>
    <row r="11" spans="1:66" hidden="1" outlineLevel="1" x14ac:dyDescent="0.25">
      <c r="A11" s="44" t="s">
        <v>26</v>
      </c>
      <c r="B11" s="45" t="s">
        <v>27</v>
      </c>
      <c r="C11" s="46"/>
      <c r="D11" s="47"/>
      <c r="E11" s="48">
        <v>1</v>
      </c>
      <c r="F11" s="49" t="s">
        <v>20</v>
      </c>
      <c r="G11" s="49" t="s">
        <v>20</v>
      </c>
      <c r="H11" s="49" t="s">
        <v>20</v>
      </c>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row>
    <row r="12" spans="1:66" ht="60" hidden="1" outlineLevel="1" x14ac:dyDescent="0.25">
      <c r="A12" s="50" t="s">
        <v>28</v>
      </c>
      <c r="B12" s="51" t="s">
        <v>29</v>
      </c>
      <c r="C12" s="46"/>
      <c r="D12" s="51"/>
      <c r="E12" s="48">
        <v>1</v>
      </c>
      <c r="F12" s="49" t="s">
        <v>20</v>
      </c>
      <c r="G12" s="49" t="s">
        <v>20</v>
      </c>
      <c r="H12" s="49" t="s">
        <v>20</v>
      </c>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row>
    <row r="13" spans="1:66" hidden="1" outlineLevel="1" x14ac:dyDescent="0.25">
      <c r="A13" s="50" t="s">
        <v>30</v>
      </c>
      <c r="B13" s="47" t="s">
        <v>31</v>
      </c>
      <c r="C13" s="46"/>
      <c r="D13" s="47"/>
      <c r="E13" s="48">
        <v>1</v>
      </c>
      <c r="F13" s="49" t="s">
        <v>20</v>
      </c>
      <c r="G13" s="49" t="s">
        <v>20</v>
      </c>
      <c r="H13" s="49" t="s">
        <v>20</v>
      </c>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row>
    <row r="14" spans="1:66" ht="15" hidden="1" outlineLevel="1" x14ac:dyDescent="0.25">
      <c r="A14" s="50" t="s">
        <v>32</v>
      </c>
      <c r="B14" s="51" t="s">
        <v>33</v>
      </c>
      <c r="C14" s="46"/>
      <c r="D14" s="51"/>
      <c r="E14" s="48">
        <v>1</v>
      </c>
      <c r="F14" s="49" t="s">
        <v>20</v>
      </c>
      <c r="G14" s="49" t="s">
        <v>20</v>
      </c>
      <c r="H14" s="49" t="s">
        <v>20</v>
      </c>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row>
    <row r="15" spans="1:66" hidden="1" outlineLevel="1" x14ac:dyDescent="0.25">
      <c r="A15" s="44" t="s">
        <v>34</v>
      </c>
      <c r="B15" s="45" t="s">
        <v>35</v>
      </c>
      <c r="C15" s="46"/>
      <c r="D15" s="47"/>
      <c r="E15" s="48">
        <v>1</v>
      </c>
      <c r="F15" s="49" t="s">
        <v>20</v>
      </c>
      <c r="G15" s="49" t="s">
        <v>20</v>
      </c>
      <c r="H15" s="49" t="s">
        <v>20</v>
      </c>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row>
    <row r="16" spans="1:66" ht="15" hidden="1" outlineLevel="1" x14ac:dyDescent="0.25">
      <c r="A16" s="37">
        <v>2</v>
      </c>
      <c r="B16" s="38" t="s">
        <v>36</v>
      </c>
      <c r="C16" s="39"/>
      <c r="D16" s="40"/>
      <c r="E16" s="41">
        <v>1</v>
      </c>
      <c r="F16" s="42" t="s">
        <v>20</v>
      </c>
      <c r="G16" s="42" t="s">
        <v>20</v>
      </c>
      <c r="H16" s="42" t="s">
        <v>20</v>
      </c>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row>
    <row r="17" spans="1:65" ht="90" hidden="1" outlineLevel="1" x14ac:dyDescent="0.25">
      <c r="A17" s="44" t="s">
        <v>37</v>
      </c>
      <c r="B17" s="45" t="s">
        <v>38</v>
      </c>
      <c r="C17" s="46"/>
      <c r="D17" s="47" t="s">
        <v>39</v>
      </c>
      <c r="E17" s="48">
        <v>1</v>
      </c>
      <c r="F17" s="49" t="s">
        <v>20</v>
      </c>
      <c r="G17" s="49" t="s">
        <v>20</v>
      </c>
      <c r="H17" s="49" t="s">
        <v>20</v>
      </c>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row>
    <row r="18" spans="1:65" ht="15" hidden="1" outlineLevel="1" x14ac:dyDescent="0.25">
      <c r="A18" s="50" t="s">
        <v>40</v>
      </c>
      <c r="B18" s="51" t="s">
        <v>41</v>
      </c>
      <c r="C18" s="46"/>
      <c r="D18" s="51"/>
      <c r="E18" s="48">
        <v>1</v>
      </c>
      <c r="F18" s="49" t="s">
        <v>20</v>
      </c>
      <c r="G18" s="49" t="s">
        <v>20</v>
      </c>
      <c r="H18" s="49" t="s">
        <v>20</v>
      </c>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row>
    <row r="19" spans="1:65" ht="15" hidden="1" outlineLevel="1" x14ac:dyDescent="0.25">
      <c r="A19" s="50" t="s">
        <v>42</v>
      </c>
      <c r="B19" s="47" t="s">
        <v>43</v>
      </c>
      <c r="C19" s="46"/>
      <c r="D19" s="47"/>
      <c r="E19" s="48">
        <v>1</v>
      </c>
      <c r="F19" s="49" t="s">
        <v>20</v>
      </c>
      <c r="G19" s="49" t="s">
        <v>20</v>
      </c>
      <c r="H19" s="49" t="s">
        <v>20</v>
      </c>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row>
    <row r="20" spans="1:65" ht="15" hidden="1" outlineLevel="1" x14ac:dyDescent="0.25">
      <c r="A20" s="50" t="s">
        <v>44</v>
      </c>
      <c r="B20" s="51" t="s">
        <v>45</v>
      </c>
      <c r="C20" s="46"/>
      <c r="D20" s="51"/>
      <c r="E20" s="48">
        <v>1</v>
      </c>
      <c r="F20" s="49" t="s">
        <v>20</v>
      </c>
      <c r="G20" s="49" t="s">
        <v>20</v>
      </c>
      <c r="H20" s="49" t="s">
        <v>20</v>
      </c>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row>
    <row r="21" spans="1:65" ht="15" hidden="1" outlineLevel="1" x14ac:dyDescent="0.25">
      <c r="A21" s="50" t="s">
        <v>46</v>
      </c>
      <c r="B21" s="47" t="s">
        <v>47</v>
      </c>
      <c r="C21" s="46"/>
      <c r="D21" s="47"/>
      <c r="E21" s="48">
        <v>1</v>
      </c>
      <c r="F21" s="49" t="s">
        <v>20</v>
      </c>
      <c r="G21" s="49" t="s">
        <v>20</v>
      </c>
      <c r="H21" s="49" t="s">
        <v>20</v>
      </c>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row>
    <row r="22" spans="1:65" ht="71.25" hidden="1" outlineLevel="1" x14ac:dyDescent="0.25">
      <c r="A22" s="52" t="s">
        <v>48</v>
      </c>
      <c r="B22" s="53" t="s">
        <v>49</v>
      </c>
      <c r="C22" s="46"/>
      <c r="D22" s="51"/>
      <c r="E22" s="48">
        <v>1</v>
      </c>
      <c r="F22" s="49" t="s">
        <v>20</v>
      </c>
      <c r="G22" s="49" t="s">
        <v>20</v>
      </c>
      <c r="H22" s="49" t="s">
        <v>20</v>
      </c>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row>
    <row r="23" spans="1:65" ht="15" hidden="1" outlineLevel="1" x14ac:dyDescent="0.25">
      <c r="A23" s="52" t="s">
        <v>50</v>
      </c>
      <c r="B23" s="54" t="s">
        <v>51</v>
      </c>
      <c r="C23" s="46"/>
      <c r="D23" s="47"/>
      <c r="E23" s="48">
        <v>0</v>
      </c>
      <c r="F23" s="49" t="s">
        <v>20</v>
      </c>
      <c r="G23" s="49" t="s">
        <v>20</v>
      </c>
      <c r="H23" s="49" t="s">
        <v>20</v>
      </c>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row>
    <row r="24" spans="1:65" ht="15" hidden="1" outlineLevel="1" x14ac:dyDescent="0.25">
      <c r="A24" s="50" t="s">
        <v>52</v>
      </c>
      <c r="B24" s="51" t="s">
        <v>53</v>
      </c>
      <c r="C24" s="46"/>
      <c r="D24" s="51"/>
      <c r="E24" s="48"/>
      <c r="F24" s="55"/>
      <c r="G24" s="56"/>
      <c r="H24" s="57"/>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row>
    <row r="25" spans="1:65" ht="15" hidden="1" outlineLevel="1" x14ac:dyDescent="0.25">
      <c r="A25" s="50" t="s">
        <v>54</v>
      </c>
      <c r="B25" s="47" t="s">
        <v>55</v>
      </c>
      <c r="C25" s="46"/>
      <c r="D25" s="47"/>
      <c r="E25" s="48"/>
      <c r="F25" s="55"/>
      <c r="G25" s="56"/>
      <c r="H25" s="57"/>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row>
    <row r="26" spans="1:65" hidden="1" outlineLevel="1" x14ac:dyDescent="0.25">
      <c r="A26" s="50" t="s">
        <v>56</v>
      </c>
      <c r="B26" s="51" t="s">
        <v>57</v>
      </c>
      <c r="C26" s="46"/>
      <c r="D26" s="51"/>
      <c r="E26" s="48"/>
      <c r="F26" s="55"/>
      <c r="G26" s="56"/>
      <c r="H26" s="57"/>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row>
    <row r="27" spans="1:65" ht="45" hidden="1" outlineLevel="1" x14ac:dyDescent="0.25">
      <c r="A27" s="50" t="s">
        <v>58</v>
      </c>
      <c r="B27" s="47" t="s">
        <v>59</v>
      </c>
      <c r="C27" s="46"/>
      <c r="D27" s="47"/>
      <c r="E27" s="48"/>
      <c r="F27" s="55"/>
      <c r="G27" s="56"/>
      <c r="H27" s="57"/>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row>
    <row r="28" spans="1:65" hidden="1" outlineLevel="1" x14ac:dyDescent="0.25">
      <c r="A28" s="50" t="s">
        <v>60</v>
      </c>
      <c r="B28" s="51" t="s">
        <v>61</v>
      </c>
      <c r="C28" s="46"/>
      <c r="D28" s="51"/>
      <c r="E28" s="48"/>
      <c r="F28" s="55"/>
      <c r="G28" s="56"/>
      <c r="H28" s="57"/>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row>
    <row r="29" spans="1:65" ht="45" hidden="1" outlineLevel="1" x14ac:dyDescent="0.25">
      <c r="A29" s="50" t="s">
        <v>62</v>
      </c>
      <c r="B29" s="47" t="s">
        <v>63</v>
      </c>
      <c r="C29" s="46"/>
      <c r="D29" s="47"/>
      <c r="E29" s="48"/>
      <c r="F29" s="55"/>
      <c r="G29" s="56"/>
      <c r="H29" s="57"/>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row>
    <row r="30" spans="1:65" ht="75" hidden="1" outlineLevel="1" x14ac:dyDescent="0.25">
      <c r="A30" s="50" t="s">
        <v>64</v>
      </c>
      <c r="B30" s="51" t="s">
        <v>65</v>
      </c>
      <c r="C30" s="46"/>
      <c r="D30" s="51"/>
      <c r="E30" s="48"/>
      <c r="F30" s="55"/>
      <c r="G30" s="56"/>
      <c r="H30" s="57"/>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row>
    <row r="31" spans="1:65" hidden="1" outlineLevel="1" x14ac:dyDescent="0.25">
      <c r="A31" s="50" t="s">
        <v>66</v>
      </c>
      <c r="B31" s="47" t="s">
        <v>67</v>
      </c>
      <c r="C31" s="46"/>
      <c r="D31" s="47"/>
      <c r="E31" s="48"/>
      <c r="F31" s="55"/>
      <c r="G31" s="56"/>
      <c r="H31" s="57"/>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row>
    <row r="32" spans="1:65" ht="42.75" hidden="1" outlineLevel="1" x14ac:dyDescent="0.25">
      <c r="A32" s="52" t="s">
        <v>68</v>
      </c>
      <c r="B32" s="53" t="s">
        <v>69</v>
      </c>
      <c r="C32" s="46"/>
      <c r="D32" s="51"/>
      <c r="E32" s="48"/>
      <c r="F32" s="55"/>
      <c r="G32" s="56"/>
      <c r="H32" s="57">
        <f>Milestones43524343[[#This Row],[BẮT ĐẦU]]+Milestones43524343[[#This Row],[NGÀY]]</f>
        <v>0</v>
      </c>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row>
    <row r="33" spans="1:65" ht="120" hidden="1" outlineLevel="1" x14ac:dyDescent="0.25">
      <c r="A33" s="50" t="s">
        <v>70</v>
      </c>
      <c r="B33" s="47" t="s">
        <v>71</v>
      </c>
      <c r="C33" s="46"/>
      <c r="D33" s="47" t="s">
        <v>39</v>
      </c>
      <c r="E33" s="48"/>
      <c r="F33" s="55"/>
      <c r="G33" s="56"/>
      <c r="H33" s="57">
        <f>Milestones43524343[[#This Row],[BẮT ĐẦU]]+Milestones43524343[[#This Row],[NGÀY]]</f>
        <v>0</v>
      </c>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c r="BM33" s="43"/>
    </row>
    <row r="34" spans="1:65" ht="120" hidden="1" outlineLevel="1" x14ac:dyDescent="0.25">
      <c r="A34" s="50" t="s">
        <v>72</v>
      </c>
      <c r="B34" s="51" t="s">
        <v>73</v>
      </c>
      <c r="C34" s="46"/>
      <c r="D34" s="51"/>
      <c r="E34" s="48"/>
      <c r="F34" s="55"/>
      <c r="G34" s="56"/>
      <c r="H34" s="57">
        <f>Milestones43524343[[#This Row],[BẮT ĐẦU]]+Milestones43524343[[#This Row],[NGÀY]]</f>
        <v>0</v>
      </c>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row>
    <row r="35" spans="1:65" ht="180" hidden="1" outlineLevel="1" x14ac:dyDescent="0.25">
      <c r="A35" s="50" t="s">
        <v>74</v>
      </c>
      <c r="B35" s="47" t="s">
        <v>75</v>
      </c>
      <c r="C35" s="46"/>
      <c r="D35" s="47" t="s">
        <v>76</v>
      </c>
      <c r="E35" s="48"/>
      <c r="F35" s="55"/>
      <c r="G35" s="56"/>
      <c r="H35" s="57">
        <f>Milestones43524343[[#This Row],[BẮT ĐẦU]]+Milestones43524343[[#This Row],[NGÀY]]</f>
        <v>0</v>
      </c>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row>
    <row r="36" spans="1:65" ht="60" hidden="1" outlineLevel="1" x14ac:dyDescent="0.25">
      <c r="A36" s="50" t="s">
        <v>77</v>
      </c>
      <c r="B36" s="51" t="s">
        <v>78</v>
      </c>
      <c r="C36" s="46"/>
      <c r="D36" s="51" t="s">
        <v>79</v>
      </c>
      <c r="E36" s="48"/>
      <c r="F36" s="55"/>
      <c r="G36" s="56"/>
      <c r="H36" s="57">
        <f>Milestones43524343[[#This Row],[BẮT ĐẦU]]+Milestones43524343[[#This Row],[NGÀY]]</f>
        <v>0</v>
      </c>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row>
    <row r="37" spans="1:65" ht="60" hidden="1" outlineLevel="1" x14ac:dyDescent="0.25">
      <c r="A37" s="50" t="s">
        <v>80</v>
      </c>
      <c r="B37" s="47" t="s">
        <v>81</v>
      </c>
      <c r="C37" s="46"/>
      <c r="D37" s="47"/>
      <c r="E37" s="48"/>
      <c r="F37" s="55"/>
      <c r="G37" s="56"/>
      <c r="H37" s="57">
        <f>Milestones43524343[[#This Row],[BẮT ĐẦU]]+Milestones43524343[[#This Row],[NGÀY]]</f>
        <v>0</v>
      </c>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row>
    <row r="38" spans="1:65" hidden="1" outlineLevel="1" x14ac:dyDescent="0.25">
      <c r="A38" s="58">
        <v>3</v>
      </c>
      <c r="B38" s="59" t="s">
        <v>82</v>
      </c>
      <c r="C38" s="39"/>
      <c r="D38" s="40"/>
      <c r="E38" s="41">
        <v>1</v>
      </c>
      <c r="F38" s="42" t="s">
        <v>20</v>
      </c>
      <c r="G38" s="42" t="s">
        <v>20</v>
      </c>
      <c r="H38" s="42" t="s">
        <v>20</v>
      </c>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row>
    <row r="39" spans="1:65" ht="28.5" hidden="1" outlineLevel="1" x14ac:dyDescent="0.25">
      <c r="A39" s="52" t="s">
        <v>83</v>
      </c>
      <c r="B39" s="54" t="s">
        <v>84</v>
      </c>
      <c r="C39" s="46"/>
      <c r="D39" s="47" t="s">
        <v>19</v>
      </c>
      <c r="E39" s="48">
        <v>1</v>
      </c>
      <c r="F39" s="49" t="s">
        <v>20</v>
      </c>
      <c r="G39" s="49" t="s">
        <v>20</v>
      </c>
      <c r="H39" s="49" t="s">
        <v>20</v>
      </c>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row>
    <row r="40" spans="1:65" ht="15" hidden="1" outlineLevel="1" x14ac:dyDescent="0.25">
      <c r="A40" s="60" t="s">
        <v>83</v>
      </c>
      <c r="B40" s="61" t="s">
        <v>85</v>
      </c>
      <c r="C40" s="46"/>
      <c r="D40" s="51"/>
      <c r="E40" s="48"/>
      <c r="F40" s="49"/>
      <c r="G40" s="49"/>
      <c r="H40" s="49"/>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row>
    <row r="41" spans="1:65" hidden="1" outlineLevel="1" x14ac:dyDescent="0.25">
      <c r="A41" s="50" t="s">
        <v>86</v>
      </c>
      <c r="B41" s="47" t="s">
        <v>87</v>
      </c>
      <c r="C41" s="46"/>
      <c r="D41" s="47" t="s">
        <v>19</v>
      </c>
      <c r="E41" s="48">
        <v>1</v>
      </c>
      <c r="F41" s="49" t="s">
        <v>20</v>
      </c>
      <c r="G41" s="49" t="s">
        <v>20</v>
      </c>
      <c r="H41" s="49" t="s">
        <v>20</v>
      </c>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row>
    <row r="42" spans="1:65" ht="45" hidden="1" outlineLevel="1" x14ac:dyDescent="0.25">
      <c r="A42" s="50" t="s">
        <v>88</v>
      </c>
      <c r="B42" s="51" t="s">
        <v>89</v>
      </c>
      <c r="C42" s="46"/>
      <c r="D42" s="51" t="s">
        <v>19</v>
      </c>
      <c r="E42" s="48">
        <v>1</v>
      </c>
      <c r="F42" s="49" t="s">
        <v>20</v>
      </c>
      <c r="G42" s="49" t="s">
        <v>20</v>
      </c>
      <c r="H42" s="49" t="s">
        <v>20</v>
      </c>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row>
    <row r="43" spans="1:65" ht="45" hidden="1" outlineLevel="1" x14ac:dyDescent="0.25">
      <c r="A43" s="50" t="s">
        <v>88</v>
      </c>
      <c r="B43" s="47" t="s">
        <v>90</v>
      </c>
      <c r="C43" s="46"/>
      <c r="D43" s="47" t="s">
        <v>91</v>
      </c>
      <c r="E43" s="48">
        <v>1</v>
      </c>
      <c r="F43" s="49" t="s">
        <v>20</v>
      </c>
      <c r="G43" s="49" t="s">
        <v>20</v>
      </c>
      <c r="H43" s="49" t="s">
        <v>20</v>
      </c>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row>
    <row r="44" spans="1:65" ht="45" hidden="1" outlineLevel="1" x14ac:dyDescent="0.25">
      <c r="A44" s="50" t="s">
        <v>88</v>
      </c>
      <c r="B44" s="51" t="s">
        <v>92</v>
      </c>
      <c r="C44" s="46"/>
      <c r="D44" s="51" t="s">
        <v>19</v>
      </c>
      <c r="E44" s="48">
        <v>1</v>
      </c>
      <c r="F44" s="49" t="s">
        <v>20</v>
      </c>
      <c r="G44" s="49" t="s">
        <v>20</v>
      </c>
      <c r="H44" s="49" t="s">
        <v>20</v>
      </c>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row>
    <row r="45" spans="1:65" hidden="1" outlineLevel="1" x14ac:dyDescent="0.25">
      <c r="A45" s="50" t="s">
        <v>88</v>
      </c>
      <c r="B45" s="47" t="s">
        <v>93</v>
      </c>
      <c r="C45" s="46"/>
      <c r="D45" s="47" t="s">
        <v>19</v>
      </c>
      <c r="E45" s="48">
        <v>1</v>
      </c>
      <c r="F45" s="49" t="s">
        <v>20</v>
      </c>
      <c r="G45" s="49" t="s">
        <v>20</v>
      </c>
      <c r="H45" s="49" t="s">
        <v>20</v>
      </c>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row>
    <row r="46" spans="1:65" ht="57.75" collapsed="1" x14ac:dyDescent="0.25">
      <c r="A46" s="52" t="s">
        <v>94</v>
      </c>
      <c r="B46" s="62" t="s">
        <v>95</v>
      </c>
      <c r="C46" s="46"/>
      <c r="D46" s="63" t="s">
        <v>96</v>
      </c>
      <c r="E46" s="48"/>
      <c r="F46" s="64">
        <v>45719</v>
      </c>
      <c r="G46" s="65"/>
      <c r="H46" s="66">
        <f>Milestones43524343[[#This Row],[BẮT ĐẦU]]+Milestones43524343[[#This Row],[NGÀY]]</f>
        <v>45719</v>
      </c>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row>
    <row r="47" spans="1:65" ht="45" x14ac:dyDescent="0.25">
      <c r="A47" s="52"/>
      <c r="B47" s="67" t="s">
        <v>97</v>
      </c>
      <c r="C47" s="46"/>
      <c r="D47" s="68" t="s">
        <v>98</v>
      </c>
      <c r="E47" s="48"/>
      <c r="F47" s="55">
        <v>45838</v>
      </c>
      <c r="G47" s="69">
        <v>45</v>
      </c>
      <c r="H47" s="55">
        <f>Milestones43524343[[#This Row],[BẮT ĐẦU]]+Milestones43524343[[#This Row],[NGÀY]]</f>
        <v>45883</v>
      </c>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row>
    <row r="48" spans="1:65" ht="15" x14ac:dyDescent="0.25">
      <c r="A48" s="52"/>
      <c r="B48" s="67" t="s">
        <v>99</v>
      </c>
      <c r="C48" s="46"/>
      <c r="D48" s="68" t="s">
        <v>98</v>
      </c>
      <c r="E48" s="48"/>
      <c r="F48" s="70">
        <v>45904</v>
      </c>
      <c r="G48" s="71">
        <v>1</v>
      </c>
      <c r="H48" s="72">
        <f>Milestones43524343[[#This Row],[BẮT ĐẦU]]+Milestones43524343[[#This Row],[NGÀY]]</f>
        <v>45905</v>
      </c>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row>
    <row r="49" spans="1:65" s="76" customFormat="1" ht="28.5" x14ac:dyDescent="0.25">
      <c r="A49" s="52" t="s">
        <v>100</v>
      </c>
      <c r="B49" s="63" t="s">
        <v>101</v>
      </c>
      <c r="C49" s="46"/>
      <c r="D49" s="68" t="s">
        <v>39</v>
      </c>
      <c r="E49" s="48"/>
      <c r="F49" s="73">
        <f>F50</f>
        <v>45904</v>
      </c>
      <c r="G49" s="74">
        <f>Milestones43524343[[#This Row],[KẾT THÚC]]-Milestones43524343[[#This Row],[BẮT ĐẦU]]</f>
        <v>12</v>
      </c>
      <c r="H49" s="75">
        <v>45916</v>
      </c>
      <c r="J49" s="77"/>
      <c r="K49" s="77"/>
      <c r="L49" s="77"/>
      <c r="M49" s="43"/>
      <c r="N49" s="43"/>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row>
    <row r="50" spans="1:65" x14ac:dyDescent="0.25">
      <c r="A50" s="50" t="s">
        <v>102</v>
      </c>
      <c r="B50" s="47" t="s">
        <v>103</v>
      </c>
      <c r="C50" s="46"/>
      <c r="D50" s="47" t="s">
        <v>39</v>
      </c>
      <c r="E50" s="48">
        <v>0</v>
      </c>
      <c r="F50" s="55">
        <f t="shared" ref="F50:F55" si="4">F48</f>
        <v>45904</v>
      </c>
      <c r="G50" s="78">
        <v>1</v>
      </c>
      <c r="H50" s="57">
        <f>Milestones43524343[[#This Row],[BẮT ĐẦU]]+Milestones43524343[[#This Row],[NGÀY]]</f>
        <v>45905</v>
      </c>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row>
    <row r="51" spans="1:65" x14ac:dyDescent="0.25">
      <c r="A51" s="50" t="s">
        <v>104</v>
      </c>
      <c r="B51" s="51" t="s">
        <v>105</v>
      </c>
      <c r="C51" s="46"/>
      <c r="D51" s="51" t="s">
        <v>39</v>
      </c>
      <c r="E51" s="48">
        <v>0</v>
      </c>
      <c r="F51" s="55">
        <f t="shared" si="4"/>
        <v>45904</v>
      </c>
      <c r="G51" s="78">
        <v>5</v>
      </c>
      <c r="H51" s="57">
        <f>Milestones43524343[[#This Row],[BẮT ĐẦU]]+Milestones43524343[[#This Row],[NGÀY]]</f>
        <v>45909</v>
      </c>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row>
    <row r="52" spans="1:65" x14ac:dyDescent="0.25">
      <c r="A52" s="50" t="s">
        <v>106</v>
      </c>
      <c r="B52" s="47" t="s">
        <v>107</v>
      </c>
      <c r="C52" s="46"/>
      <c r="D52" s="47" t="s">
        <v>39</v>
      </c>
      <c r="E52" s="48">
        <v>0</v>
      </c>
      <c r="F52" s="55">
        <f t="shared" si="4"/>
        <v>45904</v>
      </c>
      <c r="G52" s="78">
        <v>5</v>
      </c>
      <c r="H52" s="57">
        <f>Milestones43524343[[#This Row],[BẮT ĐẦU]]+Milestones43524343[[#This Row],[NGÀY]]</f>
        <v>45909</v>
      </c>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row>
    <row r="53" spans="1:65" ht="15" x14ac:dyDescent="0.25">
      <c r="A53" s="50"/>
      <c r="B53" s="51" t="s">
        <v>108</v>
      </c>
      <c r="C53" s="46"/>
      <c r="D53" s="51" t="s">
        <v>39</v>
      </c>
      <c r="E53" s="48">
        <v>0</v>
      </c>
      <c r="F53" s="55">
        <f t="shared" si="4"/>
        <v>45904</v>
      </c>
      <c r="G53" s="78">
        <v>1</v>
      </c>
      <c r="H53" s="57">
        <f>Milestones43524343[[#This Row],[BẮT ĐẦU]]+Milestones43524343[[#This Row],[NGÀY]]</f>
        <v>45905</v>
      </c>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row>
    <row r="54" spans="1:65" ht="15" x14ac:dyDescent="0.25">
      <c r="A54" s="50"/>
      <c r="B54" s="47" t="s">
        <v>109</v>
      </c>
      <c r="C54" s="46"/>
      <c r="D54" s="47" t="s">
        <v>39</v>
      </c>
      <c r="E54" s="48">
        <v>0</v>
      </c>
      <c r="F54" s="55">
        <f t="shared" si="4"/>
        <v>45904</v>
      </c>
      <c r="G54" s="78">
        <v>1</v>
      </c>
      <c r="H54" s="57">
        <f>Milestones43524343[[#This Row],[BẮT ĐẦU]]+Milestones43524343[[#This Row],[NGÀY]]</f>
        <v>45905</v>
      </c>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row>
    <row r="55" spans="1:65" ht="15" x14ac:dyDescent="0.25">
      <c r="A55" s="50"/>
      <c r="B55" s="51" t="s">
        <v>110</v>
      </c>
      <c r="C55" s="46"/>
      <c r="D55" s="51" t="s">
        <v>39</v>
      </c>
      <c r="E55" s="48">
        <v>0</v>
      </c>
      <c r="F55" s="55">
        <f t="shared" si="4"/>
        <v>45904</v>
      </c>
      <c r="G55" s="78">
        <v>7</v>
      </c>
      <c r="H55" s="57">
        <f>Milestones43524343[[#This Row],[BẮT ĐẦU]]+Milestones43524343[[#This Row],[NGÀY]]</f>
        <v>45911</v>
      </c>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row>
    <row r="56" spans="1:65" x14ac:dyDescent="0.25">
      <c r="A56" s="50" t="s">
        <v>111</v>
      </c>
      <c r="B56" s="47" t="s">
        <v>112</v>
      </c>
      <c r="C56" s="46"/>
      <c r="D56" s="47" t="s">
        <v>39</v>
      </c>
      <c r="E56" s="48">
        <v>0</v>
      </c>
      <c r="F56" s="55">
        <v>45909</v>
      </c>
      <c r="G56" s="78">
        <v>4</v>
      </c>
      <c r="H56" s="57">
        <f>Milestones43524343[[#This Row],[BẮT ĐẦU]]+Milestones43524343[[#This Row],[NGÀY]]</f>
        <v>45913</v>
      </c>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row>
    <row r="57" spans="1:65" ht="15" x14ac:dyDescent="0.25">
      <c r="A57" s="50" t="s">
        <v>113</v>
      </c>
      <c r="B57" s="51" t="s">
        <v>114</v>
      </c>
      <c r="C57" s="46"/>
      <c r="D57" s="51" t="s">
        <v>39</v>
      </c>
      <c r="E57" s="48">
        <v>0</v>
      </c>
      <c r="F57" s="55">
        <v>45942</v>
      </c>
      <c r="G57" s="78">
        <v>3</v>
      </c>
      <c r="H57" s="57">
        <f>Milestones43524343[[#This Row],[BẮT ĐẦU]]+Milestones43524343[[#This Row],[NGÀY]]</f>
        <v>45945</v>
      </c>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row>
    <row r="58" spans="1:65" x14ac:dyDescent="0.25">
      <c r="A58" s="50" t="s">
        <v>115</v>
      </c>
      <c r="B58" s="47" t="s">
        <v>116</v>
      </c>
      <c r="C58" s="46"/>
      <c r="D58" s="47" t="s">
        <v>117</v>
      </c>
      <c r="E58" s="48">
        <v>0</v>
      </c>
      <c r="F58" s="55">
        <v>45945</v>
      </c>
      <c r="G58" s="78">
        <v>1</v>
      </c>
      <c r="H58" s="57">
        <f>Milestones43524343[[#This Row],[BẮT ĐẦU]]+Milestones43524343[[#This Row],[NGÀY]]</f>
        <v>45946</v>
      </c>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row>
    <row r="59" spans="1:65" s="76" customFormat="1" ht="15" x14ac:dyDescent="0.25">
      <c r="A59" s="79" t="s">
        <v>118</v>
      </c>
      <c r="B59" s="80" t="s">
        <v>119</v>
      </c>
      <c r="C59" s="81"/>
      <c r="D59" s="80"/>
      <c r="E59" s="82"/>
      <c r="F59" s="83">
        <f>H60</f>
        <v>45961</v>
      </c>
      <c r="G59" s="79">
        <v>55</v>
      </c>
      <c r="H59" s="84">
        <f>Milestones43524343[[#This Row],[BẮT ĐẦU]]+Milestones43524343[[#This Row],[NGÀY]]</f>
        <v>46016</v>
      </c>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row>
    <row r="60" spans="1:65" x14ac:dyDescent="0.25">
      <c r="A60" s="85" t="s">
        <v>120</v>
      </c>
      <c r="B60" s="86" t="s">
        <v>121</v>
      </c>
      <c r="C60" s="81"/>
      <c r="D60" s="86" t="s">
        <v>19</v>
      </c>
      <c r="E60" s="82"/>
      <c r="F60" s="87"/>
      <c r="G60" s="85"/>
      <c r="H60" s="88">
        <v>45961</v>
      </c>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row>
    <row r="61" spans="1:65" ht="15" x14ac:dyDescent="0.25">
      <c r="A61" s="85" t="s">
        <v>122</v>
      </c>
      <c r="B61" s="86" t="s">
        <v>123</v>
      </c>
      <c r="C61" s="81"/>
      <c r="D61" s="86" t="s">
        <v>124</v>
      </c>
      <c r="E61" s="82"/>
      <c r="F61" s="87">
        <v>45962</v>
      </c>
      <c r="G61" s="85">
        <f>Milestones43524343[[#This Row],[KẾT THÚC]]-Milestones43524343[[#This Row],[BẮT ĐẦU]]</f>
        <v>26</v>
      </c>
      <c r="H61" s="88">
        <v>45988</v>
      </c>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3"/>
      <c r="BK61" s="43"/>
      <c r="BL61" s="43"/>
      <c r="BM61" s="43"/>
    </row>
    <row r="62" spans="1:65" ht="60" x14ac:dyDescent="0.25">
      <c r="A62" s="85" t="s">
        <v>88</v>
      </c>
      <c r="B62" s="86" t="s">
        <v>125</v>
      </c>
      <c r="C62" s="81"/>
      <c r="D62" s="86" t="s">
        <v>124</v>
      </c>
      <c r="E62" s="82"/>
      <c r="F62" s="87">
        <v>45962</v>
      </c>
      <c r="G62" s="85">
        <f>Milestones43524343[[#This Row],[KẾT THÚC]]-Milestones43524343[[#This Row],[BẮT ĐẦU]]</f>
        <v>26</v>
      </c>
      <c r="H62" s="88">
        <v>45988</v>
      </c>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row>
    <row r="63" spans="1:65" x14ac:dyDescent="0.25">
      <c r="A63" s="85" t="s">
        <v>88</v>
      </c>
      <c r="B63" s="86" t="s">
        <v>31</v>
      </c>
      <c r="C63" s="81"/>
      <c r="D63" s="86" t="s">
        <v>19</v>
      </c>
      <c r="E63" s="82"/>
      <c r="F63" s="87"/>
      <c r="G63" s="85"/>
      <c r="H63" s="88"/>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row>
    <row r="64" spans="1:65" ht="15" x14ac:dyDescent="0.25">
      <c r="A64" s="85"/>
      <c r="B64" s="47" t="s">
        <v>126</v>
      </c>
      <c r="C64" s="81"/>
      <c r="D64" s="85"/>
      <c r="E64" s="82"/>
      <c r="F64" s="89"/>
      <c r="G64" s="90"/>
      <c r="H64" s="91">
        <v>45672</v>
      </c>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row>
    <row r="65" spans="1:65" ht="15" x14ac:dyDescent="0.25">
      <c r="A65" s="85" t="s">
        <v>88</v>
      </c>
      <c r="B65" s="86" t="s">
        <v>127</v>
      </c>
      <c r="C65" s="81"/>
      <c r="D65" s="86" t="s">
        <v>124</v>
      </c>
      <c r="E65" s="82"/>
      <c r="F65" s="87"/>
      <c r="G65" s="85"/>
      <c r="H65" s="88"/>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row>
    <row r="66" spans="1:65" ht="15" x14ac:dyDescent="0.25">
      <c r="A66" s="85" t="s">
        <v>128</v>
      </c>
      <c r="B66" s="86" t="s">
        <v>129</v>
      </c>
      <c r="C66" s="81"/>
      <c r="D66" s="86" t="s">
        <v>130</v>
      </c>
      <c r="E66" s="82"/>
      <c r="F66" s="87"/>
      <c r="G66" s="85"/>
      <c r="H66" s="88"/>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row>
    <row r="67" spans="1:65" ht="15" x14ac:dyDescent="0.25">
      <c r="A67" s="79" t="s">
        <v>118</v>
      </c>
      <c r="B67" s="80" t="s">
        <v>131</v>
      </c>
      <c r="C67" s="81"/>
      <c r="D67" s="80"/>
      <c r="E67" s="82"/>
      <c r="F67" s="83">
        <f>H68</f>
        <v>46064</v>
      </c>
      <c r="G67" s="79">
        <v>55</v>
      </c>
      <c r="H67" s="84">
        <f>Milestones43524343[[#This Row],[BẮT ĐẦU]]+Milestones43524343[[#This Row],[NGÀY]]</f>
        <v>46119</v>
      </c>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row>
    <row r="68" spans="1:65" x14ac:dyDescent="0.25">
      <c r="A68" s="85" t="s">
        <v>120</v>
      </c>
      <c r="B68" s="86" t="s">
        <v>121</v>
      </c>
      <c r="C68" s="81"/>
      <c r="D68" s="86" t="s">
        <v>19</v>
      </c>
      <c r="E68" s="82"/>
      <c r="F68" s="87"/>
      <c r="G68" s="85"/>
      <c r="H68" s="88">
        <v>46064</v>
      </c>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row>
    <row r="69" spans="1:65" ht="15" x14ac:dyDescent="0.25">
      <c r="A69" s="85" t="s">
        <v>122</v>
      </c>
      <c r="B69" s="86" t="s">
        <v>123</v>
      </c>
      <c r="C69" s="81"/>
      <c r="D69" s="86" t="s">
        <v>124</v>
      </c>
      <c r="E69" s="82"/>
      <c r="F69" s="87">
        <v>46064</v>
      </c>
      <c r="G69" s="85">
        <v>5</v>
      </c>
      <c r="H69" s="88">
        <v>46094</v>
      </c>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row>
    <row r="70" spans="1:65" ht="60" x14ac:dyDescent="0.25">
      <c r="A70" s="85" t="s">
        <v>88</v>
      </c>
      <c r="B70" s="86" t="s">
        <v>125</v>
      </c>
      <c r="C70" s="81"/>
      <c r="D70" s="86" t="s">
        <v>124</v>
      </c>
      <c r="E70" s="82"/>
      <c r="F70" s="87">
        <v>46064</v>
      </c>
      <c r="G70" s="85">
        <v>30</v>
      </c>
      <c r="H70" s="88">
        <v>46094</v>
      </c>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row>
    <row r="71" spans="1:65" x14ac:dyDescent="0.25">
      <c r="A71" s="85" t="s">
        <v>88</v>
      </c>
      <c r="B71" s="86" t="s">
        <v>31</v>
      </c>
      <c r="C71" s="81"/>
      <c r="D71" s="86" t="s">
        <v>19</v>
      </c>
      <c r="E71" s="82"/>
      <c r="F71" s="87">
        <v>46094</v>
      </c>
      <c r="G71" s="85">
        <f>Milestones43524343[[#This Row],[KẾT THÚC]]-Milestones43524343[[#This Row],[BẮT ĐẦU]]</f>
        <v>7</v>
      </c>
      <c r="H71" s="88">
        <v>46101</v>
      </c>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row>
    <row r="72" spans="1:65" ht="15" x14ac:dyDescent="0.25">
      <c r="A72" s="85" t="s">
        <v>88</v>
      </c>
      <c r="B72" s="86" t="s">
        <v>127</v>
      </c>
      <c r="C72" s="81"/>
      <c r="D72" s="86" t="s">
        <v>124</v>
      </c>
      <c r="E72" s="82"/>
      <c r="F72" s="87">
        <f>H71</f>
        <v>46101</v>
      </c>
      <c r="G72" s="85">
        <f>Milestones43524343[[#This Row],[KẾT THÚC]]-Milestones43524343[[#This Row],[BẮT ĐẦU]]</f>
        <v>27</v>
      </c>
      <c r="H72" s="88">
        <v>46128</v>
      </c>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row>
    <row r="73" spans="1:65" ht="15" x14ac:dyDescent="0.25">
      <c r="A73" s="85" t="s">
        <v>128</v>
      </c>
      <c r="B73" s="86" t="s">
        <v>129</v>
      </c>
      <c r="C73" s="81"/>
      <c r="D73" s="86" t="s">
        <v>130</v>
      </c>
      <c r="E73" s="82"/>
      <c r="F73" s="87">
        <f>H72</f>
        <v>46128</v>
      </c>
      <c r="G73" s="85">
        <v>1</v>
      </c>
      <c r="H73" s="136">
        <v>46178</v>
      </c>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row>
    <row r="74" spans="1:65" ht="15" x14ac:dyDescent="0.25">
      <c r="A74" s="30" t="s">
        <v>132</v>
      </c>
      <c r="B74" s="31" t="s">
        <v>133</v>
      </c>
      <c r="C74" s="32"/>
      <c r="D74" s="33"/>
      <c r="E74" s="34"/>
      <c r="F74" s="92"/>
      <c r="G74" s="93"/>
      <c r="H74" s="94"/>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row>
    <row r="75" spans="1:65" ht="28.5" x14ac:dyDescent="0.25">
      <c r="A75" s="37">
        <v>1</v>
      </c>
      <c r="B75" s="38" t="s">
        <v>134</v>
      </c>
      <c r="C75" s="39"/>
      <c r="D75" s="40" t="s">
        <v>39</v>
      </c>
      <c r="E75" s="41"/>
      <c r="F75" s="95">
        <f>H73</f>
        <v>46178</v>
      </c>
      <c r="G75" s="96">
        <v>1</v>
      </c>
      <c r="H75" s="97">
        <f>Milestones43524343[[#This Row],[BẮT ĐẦU]]+Milestones43524343[[#This Row],[NGÀY]]</f>
        <v>46179</v>
      </c>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row>
    <row r="76" spans="1:65" ht="42.75" x14ac:dyDescent="0.25">
      <c r="A76" s="37">
        <v>2</v>
      </c>
      <c r="B76" s="38" t="s">
        <v>135</v>
      </c>
      <c r="C76" s="39"/>
      <c r="D76" s="40" t="s">
        <v>39</v>
      </c>
      <c r="E76" s="41"/>
      <c r="F76" s="95"/>
      <c r="G76" s="96"/>
      <c r="H76" s="97"/>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row>
    <row r="77" spans="1:65" ht="43.5" x14ac:dyDescent="0.25">
      <c r="A77" s="37">
        <v>3</v>
      </c>
      <c r="B77" s="117" t="s">
        <v>191</v>
      </c>
      <c r="C77" s="39"/>
      <c r="D77" s="40" t="s">
        <v>39</v>
      </c>
      <c r="E77" s="41"/>
      <c r="F77" s="98">
        <f>F78</f>
        <v>46198</v>
      </c>
      <c r="G77" s="118">
        <f>Milestones43524343[[#This Row],[KẾT THÚC]]-Milestones43524343[[#This Row],[BẮT ĐẦU]]</f>
        <v>49</v>
      </c>
      <c r="H77" s="98">
        <f>H83</f>
        <v>46247</v>
      </c>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row>
    <row r="78" spans="1:65" ht="15" x14ac:dyDescent="0.25">
      <c r="A78" s="50" t="s">
        <v>88</v>
      </c>
      <c r="B78" s="47" t="s">
        <v>176</v>
      </c>
      <c r="C78" s="46"/>
      <c r="D78" s="68" t="s">
        <v>39</v>
      </c>
      <c r="E78" s="120" t="s">
        <v>225</v>
      </c>
      <c r="F78" s="134">
        <v>46198</v>
      </c>
      <c r="G78" s="119">
        <v>1</v>
      </c>
      <c r="H78" s="91">
        <v>46198</v>
      </c>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row>
    <row r="79" spans="1:65" ht="15" x14ac:dyDescent="0.25">
      <c r="A79" s="52" t="s">
        <v>88</v>
      </c>
      <c r="B79" s="47" t="s">
        <v>177</v>
      </c>
      <c r="C79" s="46"/>
      <c r="D79" s="68" t="s">
        <v>179</v>
      </c>
      <c r="E79" s="120" t="s">
        <v>225</v>
      </c>
      <c r="F79" s="55">
        <v>46198</v>
      </c>
      <c r="G79" s="119"/>
      <c r="H79" s="91">
        <v>46202</v>
      </c>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row>
    <row r="80" spans="1:65" ht="45" x14ac:dyDescent="0.25">
      <c r="A80" s="52" t="s">
        <v>88</v>
      </c>
      <c r="B80" s="47" t="s">
        <v>178</v>
      </c>
      <c r="C80" s="46"/>
      <c r="D80" s="68" t="s">
        <v>179</v>
      </c>
      <c r="E80" s="120" t="s">
        <v>225</v>
      </c>
      <c r="F80" s="55"/>
      <c r="G80" s="119"/>
      <c r="H80" s="91"/>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row>
    <row r="81" spans="1:65" x14ac:dyDescent="0.25">
      <c r="A81" s="52" t="s">
        <v>88</v>
      </c>
      <c r="B81" s="47" t="s">
        <v>31</v>
      </c>
      <c r="C81" s="46"/>
      <c r="D81" s="68" t="s">
        <v>39</v>
      </c>
      <c r="E81" s="120" t="s">
        <v>225</v>
      </c>
      <c r="F81" s="55"/>
      <c r="G81" s="119"/>
      <c r="H81" s="91"/>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row>
    <row r="82" spans="1:65" ht="15" x14ac:dyDescent="0.25">
      <c r="A82" s="52" t="s">
        <v>88</v>
      </c>
      <c r="B82" s="47" t="s">
        <v>127</v>
      </c>
      <c r="C82" s="46"/>
      <c r="D82" s="68" t="s">
        <v>179</v>
      </c>
      <c r="E82" s="120" t="s">
        <v>225</v>
      </c>
      <c r="F82" s="55">
        <v>46237</v>
      </c>
      <c r="G82" s="119">
        <v>7</v>
      </c>
      <c r="H82" s="135">
        <v>46237</v>
      </c>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row>
    <row r="83" spans="1:65" x14ac:dyDescent="0.25">
      <c r="A83" s="52" t="s">
        <v>88</v>
      </c>
      <c r="B83" s="47" t="s">
        <v>180</v>
      </c>
      <c r="C83" s="46"/>
      <c r="D83" s="68" t="s">
        <v>181</v>
      </c>
      <c r="E83" s="120" t="s">
        <v>225</v>
      </c>
      <c r="F83" s="55">
        <f>H82</f>
        <v>46237</v>
      </c>
      <c r="G83" s="119">
        <v>7</v>
      </c>
      <c r="H83" s="135">
        <v>46247</v>
      </c>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row>
    <row r="84" spans="1:65" ht="28.5" x14ac:dyDescent="0.25">
      <c r="A84" s="37">
        <v>4</v>
      </c>
      <c r="B84" s="38" t="s">
        <v>136</v>
      </c>
      <c r="C84" s="39"/>
      <c r="D84" s="40"/>
      <c r="E84" s="41"/>
      <c r="F84" s="98">
        <v>46183</v>
      </c>
      <c r="G84" s="99">
        <v>15</v>
      </c>
      <c r="H84" s="97">
        <f>Milestones43524343[[#This Row],[BẮT ĐẦU]]+Milestones43524343[[#This Row],[NGÀY]]</f>
        <v>46198</v>
      </c>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row>
    <row r="85" spans="1:65" x14ac:dyDescent="0.25">
      <c r="A85" s="60" t="s">
        <v>148</v>
      </c>
      <c r="B85" s="100" t="s">
        <v>137</v>
      </c>
      <c r="C85" s="46"/>
      <c r="D85" s="47" t="s">
        <v>19</v>
      </c>
      <c r="E85" s="120" t="s">
        <v>225</v>
      </c>
      <c r="F85" s="55">
        <f>F84</f>
        <v>46183</v>
      </c>
      <c r="G85" s="71">
        <v>4</v>
      </c>
      <c r="H85" s="57">
        <f>Milestones43524343[[#This Row],[BẮT ĐẦU]]+Milestones43524343[[#This Row],[NGÀY]]</f>
        <v>46187</v>
      </c>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row>
    <row r="86" spans="1:65" x14ac:dyDescent="0.25">
      <c r="A86" s="50" t="s">
        <v>88</v>
      </c>
      <c r="B86" s="51" t="s">
        <v>138</v>
      </c>
      <c r="C86" s="46"/>
      <c r="D86" s="51" t="s">
        <v>19</v>
      </c>
      <c r="E86" s="120" t="s">
        <v>225</v>
      </c>
      <c r="F86" s="55">
        <v>46202</v>
      </c>
      <c r="G86" s="71">
        <v>1</v>
      </c>
      <c r="H86" s="57">
        <f>Milestones43524343[[#This Row],[BẮT ĐẦU]]+Milestones43524343[[#This Row],[NGÀY]]</f>
        <v>46203</v>
      </c>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row>
    <row r="87" spans="1:65" ht="45" x14ac:dyDescent="0.25">
      <c r="A87" s="50" t="s">
        <v>88</v>
      </c>
      <c r="B87" s="47" t="s">
        <v>139</v>
      </c>
      <c r="C87" s="46"/>
      <c r="D87" s="47" t="s">
        <v>140</v>
      </c>
      <c r="E87" s="120" t="s">
        <v>225</v>
      </c>
      <c r="F87" s="55">
        <f t="shared" ref="F87:F136" si="5">H86</f>
        <v>46203</v>
      </c>
      <c r="G87" s="71">
        <v>1</v>
      </c>
      <c r="H87" s="57">
        <f>Milestones43524343[[#This Row],[BẮT ĐẦU]]+Milestones43524343[[#This Row],[NGÀY]]</f>
        <v>46204</v>
      </c>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row>
    <row r="88" spans="1:65" ht="45" x14ac:dyDescent="0.25">
      <c r="A88" s="50" t="s">
        <v>88</v>
      </c>
      <c r="B88" s="51" t="s">
        <v>141</v>
      </c>
      <c r="C88" s="46"/>
      <c r="D88" s="51" t="s">
        <v>142</v>
      </c>
      <c r="E88" s="120" t="s">
        <v>225</v>
      </c>
      <c r="F88" s="55">
        <v>46203</v>
      </c>
      <c r="G88" s="71">
        <v>1</v>
      </c>
      <c r="H88" s="136">
        <v>46203</v>
      </c>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row>
    <row r="89" spans="1:65" ht="43.5" x14ac:dyDescent="0.25">
      <c r="A89" s="50"/>
      <c r="B89" s="132" t="s">
        <v>192</v>
      </c>
      <c r="C89" s="46"/>
      <c r="D89" s="128"/>
      <c r="E89" s="48"/>
      <c r="F89" s="55">
        <f>F90</f>
        <v>46231</v>
      </c>
      <c r="G89" s="56">
        <f>Milestones43524343[[#This Row],[KẾT THÚC]]-Milestones43524343[[#This Row],[BẮT ĐẦU]]</f>
        <v>28</v>
      </c>
      <c r="H89" s="91">
        <f>H98</f>
        <v>46259</v>
      </c>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row>
    <row r="90" spans="1:65" ht="15" x14ac:dyDescent="0.25">
      <c r="A90" s="50"/>
      <c r="B90" s="129" t="s">
        <v>193</v>
      </c>
      <c r="C90" s="46"/>
      <c r="D90" s="128" t="s">
        <v>19</v>
      </c>
      <c r="E90" s="120" t="s">
        <v>225</v>
      </c>
      <c r="F90" s="55">
        <v>46231</v>
      </c>
      <c r="G90" s="56">
        <v>1</v>
      </c>
      <c r="H90" s="91">
        <f>Milestones43524343[[#This Row],[BẮT ĐẦU]]+Milestones43524343[[#This Row],[NGÀY]]</f>
        <v>46232</v>
      </c>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row>
    <row r="91" spans="1:65" ht="15" x14ac:dyDescent="0.25">
      <c r="A91" s="50"/>
      <c r="B91" s="129" t="s">
        <v>194</v>
      </c>
      <c r="C91" s="46"/>
      <c r="D91" s="128" t="s">
        <v>117</v>
      </c>
      <c r="E91" s="120" t="s">
        <v>225</v>
      </c>
      <c r="F91" s="55">
        <v>46240</v>
      </c>
      <c r="G91" s="56">
        <v>1</v>
      </c>
      <c r="H91" s="91">
        <f>Milestones43524343[[#This Row],[BẮT ĐẦU]]+Milestones43524343[[#This Row],[NGÀY]]</f>
        <v>46241</v>
      </c>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row>
    <row r="92" spans="1:65" ht="15" x14ac:dyDescent="0.25">
      <c r="A92" s="50"/>
      <c r="B92" s="129" t="s">
        <v>196</v>
      </c>
      <c r="C92" s="46"/>
      <c r="D92" s="128" t="s">
        <v>117</v>
      </c>
      <c r="E92" s="48" t="s">
        <v>226</v>
      </c>
      <c r="F92" s="55">
        <v>46245</v>
      </c>
      <c r="G92" s="56">
        <v>1</v>
      </c>
      <c r="H92" s="91">
        <f>Milestones43524343[[#This Row],[BẮT ĐẦU]]+Milestones43524343[[#This Row],[NGÀY]]</f>
        <v>46246</v>
      </c>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row>
    <row r="93" spans="1:65" ht="15" x14ac:dyDescent="0.25">
      <c r="A93" s="50"/>
      <c r="B93" s="129" t="s">
        <v>195</v>
      </c>
      <c r="C93" s="46"/>
      <c r="D93" s="128" t="s">
        <v>117</v>
      </c>
      <c r="E93" s="48"/>
      <c r="F93" s="55">
        <v>46246</v>
      </c>
      <c r="G93" s="56">
        <v>1</v>
      </c>
      <c r="H93" s="91">
        <f>Milestones43524343[[#This Row],[BẮT ĐẦU]]+Milestones43524343[[#This Row],[NGÀY]]</f>
        <v>46247</v>
      </c>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row>
    <row r="94" spans="1:65" ht="15" x14ac:dyDescent="0.25">
      <c r="A94" s="50"/>
      <c r="B94" s="129" t="s">
        <v>197</v>
      </c>
      <c r="C94" s="46"/>
      <c r="D94" s="128" t="s">
        <v>142</v>
      </c>
      <c r="E94" s="48"/>
      <c r="F94" s="55">
        <v>46247</v>
      </c>
      <c r="G94" s="56">
        <v>1</v>
      </c>
      <c r="H94" s="91">
        <f>Milestones43524343[[#This Row],[BẮT ĐẦU]]+Milestones43524343[[#This Row],[NGÀY]]</f>
        <v>46248</v>
      </c>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row>
    <row r="95" spans="1:65" ht="15" x14ac:dyDescent="0.25">
      <c r="A95" s="50"/>
      <c r="B95" s="129" t="s">
        <v>198</v>
      </c>
      <c r="C95" s="46"/>
      <c r="D95" s="128"/>
      <c r="E95" s="48"/>
      <c r="F95" s="55">
        <v>46249</v>
      </c>
      <c r="G95" s="56">
        <v>2</v>
      </c>
      <c r="H95" s="91">
        <f>Milestones43524343[[#This Row],[BẮT ĐẦU]]+Milestones43524343[[#This Row],[NGÀY]]</f>
        <v>46251</v>
      </c>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row>
    <row r="96" spans="1:65" ht="15" x14ac:dyDescent="0.25">
      <c r="A96" s="50"/>
      <c r="B96" s="129" t="s">
        <v>205</v>
      </c>
      <c r="C96" s="46"/>
      <c r="D96" s="128"/>
      <c r="E96" s="48"/>
      <c r="F96" s="55">
        <f>H95+5</f>
        <v>46256</v>
      </c>
      <c r="G96" s="56">
        <v>1</v>
      </c>
      <c r="H96" s="127">
        <f>Milestones43524343[[#This Row],[BẮT ĐẦU]]+Milestones43524343[[#This Row],[NGÀY]]</f>
        <v>46257</v>
      </c>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row>
    <row r="97" spans="1:65" ht="15" x14ac:dyDescent="0.25">
      <c r="A97" s="50"/>
      <c r="B97" s="129" t="s">
        <v>200</v>
      </c>
      <c r="C97" s="46"/>
      <c r="D97" s="128" t="s">
        <v>117</v>
      </c>
      <c r="E97" s="48"/>
      <c r="F97" s="55">
        <f>H96</f>
        <v>46257</v>
      </c>
      <c r="G97" s="56">
        <v>1</v>
      </c>
      <c r="H97" s="91">
        <f>Milestones43524343[[#This Row],[BẮT ĐẦU]]+Milestones43524343[[#This Row],[NGÀY]]</f>
        <v>46258</v>
      </c>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row>
    <row r="98" spans="1:65" ht="15" x14ac:dyDescent="0.25">
      <c r="A98" s="50"/>
      <c r="B98" s="129" t="s">
        <v>199</v>
      </c>
      <c r="C98" s="46"/>
      <c r="D98" s="128"/>
      <c r="E98" s="48"/>
      <c r="F98" s="55">
        <f>H97</f>
        <v>46258</v>
      </c>
      <c r="G98" s="56">
        <v>1</v>
      </c>
      <c r="H98" s="91">
        <f>Milestones43524343[[#This Row],[BẮT ĐẦU]]+Milestones43524343[[#This Row],[NGÀY]]</f>
        <v>46259</v>
      </c>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row>
    <row r="99" spans="1:65" ht="43.5" x14ac:dyDescent="0.25">
      <c r="A99" s="50"/>
      <c r="B99" s="132" t="s">
        <v>201</v>
      </c>
      <c r="C99" s="46"/>
      <c r="D99" s="128"/>
      <c r="E99" s="48"/>
      <c r="F99" s="55"/>
      <c r="G99" s="56"/>
      <c r="H99" s="91">
        <f>Milestones43524343[[#This Row],[BẮT ĐẦU]]+Milestones43524343[[#This Row],[NGÀY]]</f>
        <v>0</v>
      </c>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row>
    <row r="100" spans="1:65" ht="15" x14ac:dyDescent="0.25">
      <c r="A100" s="50"/>
      <c r="B100" s="129" t="s">
        <v>193</v>
      </c>
      <c r="C100" s="46"/>
      <c r="D100" s="128" t="s">
        <v>19</v>
      </c>
      <c r="E100" s="120" t="s">
        <v>225</v>
      </c>
      <c r="F100" s="55">
        <v>46231</v>
      </c>
      <c r="G100" s="56">
        <v>1</v>
      </c>
      <c r="H100" s="91">
        <f>Milestones43524343[[#This Row],[BẮT ĐẦU]]+Milestones43524343[[#This Row],[NGÀY]]</f>
        <v>46232</v>
      </c>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row>
    <row r="101" spans="1:65" ht="15" x14ac:dyDescent="0.25">
      <c r="A101" s="50"/>
      <c r="B101" s="130" t="s">
        <v>202</v>
      </c>
      <c r="C101" s="46"/>
      <c r="D101" s="128" t="s">
        <v>203</v>
      </c>
      <c r="E101" s="120" t="s">
        <v>225</v>
      </c>
      <c r="F101" s="55">
        <v>46246</v>
      </c>
      <c r="G101" s="56">
        <v>1</v>
      </c>
      <c r="H101" s="91">
        <v>46246</v>
      </c>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row>
    <row r="102" spans="1:65" ht="15" x14ac:dyDescent="0.25">
      <c r="A102" s="50"/>
      <c r="B102" s="129" t="s">
        <v>194</v>
      </c>
      <c r="C102" s="46"/>
      <c r="D102" s="128" t="s">
        <v>203</v>
      </c>
      <c r="E102" s="48" t="s">
        <v>226</v>
      </c>
      <c r="F102" s="55">
        <f>H101</f>
        <v>46246</v>
      </c>
      <c r="G102" s="56">
        <v>3</v>
      </c>
      <c r="H102" s="91">
        <f>Milestones43524343[[#This Row],[BẮT ĐẦU]]+Milestones43524343[[#This Row],[NGÀY]]</f>
        <v>46249</v>
      </c>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row>
    <row r="103" spans="1:65" ht="15" x14ac:dyDescent="0.25">
      <c r="A103" s="50"/>
      <c r="B103" s="129" t="s">
        <v>196</v>
      </c>
      <c r="C103" s="46"/>
      <c r="D103" s="128" t="s">
        <v>117</v>
      </c>
      <c r="F103" s="55">
        <f>H102</f>
        <v>46249</v>
      </c>
      <c r="G103" s="56">
        <v>1</v>
      </c>
      <c r="H103" s="91">
        <f>Milestones43524343[[#This Row],[BẮT ĐẦU]]+Milestones43524343[[#This Row],[NGÀY]]</f>
        <v>46250</v>
      </c>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row>
    <row r="104" spans="1:65" ht="15" x14ac:dyDescent="0.25">
      <c r="A104" s="50"/>
      <c r="B104" s="129" t="s">
        <v>195</v>
      </c>
      <c r="C104" s="46"/>
      <c r="D104" s="128" t="s">
        <v>117</v>
      </c>
      <c r="E104" s="48"/>
      <c r="F104" s="55">
        <f>H103</f>
        <v>46250</v>
      </c>
      <c r="G104" s="56">
        <v>1</v>
      </c>
      <c r="H104" s="91">
        <f>Milestones43524343[[#This Row],[BẮT ĐẦU]]+Milestones43524343[[#This Row],[NGÀY]]</f>
        <v>46251</v>
      </c>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row>
    <row r="105" spans="1:65" ht="15" x14ac:dyDescent="0.25">
      <c r="A105" s="50"/>
      <c r="B105" s="129" t="s">
        <v>197</v>
      </c>
      <c r="C105" s="46"/>
      <c r="D105" s="128" t="s">
        <v>142</v>
      </c>
      <c r="E105" s="48"/>
      <c r="F105" s="55">
        <f>H104</f>
        <v>46251</v>
      </c>
      <c r="G105" s="56">
        <v>1</v>
      </c>
      <c r="H105" s="91">
        <f>Milestones43524343[[#This Row],[BẮT ĐẦU]]+Milestones43524343[[#This Row],[NGÀY]]</f>
        <v>46252</v>
      </c>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row>
    <row r="106" spans="1:65" ht="15" x14ac:dyDescent="0.25">
      <c r="A106" s="50"/>
      <c r="B106" s="129" t="s">
        <v>198</v>
      </c>
      <c r="C106" s="46"/>
      <c r="D106" s="128"/>
      <c r="E106" s="48"/>
      <c r="F106" s="55">
        <f>H105</f>
        <v>46252</v>
      </c>
      <c r="G106" s="56">
        <v>3</v>
      </c>
      <c r="H106" s="91">
        <f>Milestones43524343[[#This Row],[BẮT ĐẦU]]+Milestones43524343[[#This Row],[NGÀY]]</f>
        <v>46255</v>
      </c>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row>
    <row r="107" spans="1:65" ht="15" x14ac:dyDescent="0.25">
      <c r="A107" s="50"/>
      <c r="B107" s="129" t="s">
        <v>204</v>
      </c>
      <c r="C107" s="46"/>
      <c r="D107" s="128"/>
      <c r="E107" s="48"/>
      <c r="F107" s="55">
        <f>H96</f>
        <v>46257</v>
      </c>
      <c r="G107" s="56">
        <v>1</v>
      </c>
      <c r="H107" s="91">
        <f>Milestones43524343[[#This Row],[BẮT ĐẦU]]+Milestones43524343[[#This Row],[NGÀY]]</f>
        <v>46258</v>
      </c>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row>
    <row r="108" spans="1:65" ht="29.25" x14ac:dyDescent="0.25">
      <c r="A108" s="50"/>
      <c r="B108" s="131" t="s">
        <v>206</v>
      </c>
      <c r="C108" s="46"/>
      <c r="D108" s="128"/>
      <c r="E108" s="48"/>
      <c r="F108" s="55"/>
      <c r="G108" s="56"/>
      <c r="H108" s="91">
        <f>Milestones43524343[[#This Row],[BẮT ĐẦU]]+Milestones43524343[[#This Row],[NGÀY]]</f>
        <v>0</v>
      </c>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row>
    <row r="109" spans="1:65" ht="15" x14ac:dyDescent="0.25">
      <c r="A109" s="50"/>
      <c r="B109" s="129" t="s">
        <v>193</v>
      </c>
      <c r="C109" s="46"/>
      <c r="D109" s="128" t="s">
        <v>19</v>
      </c>
      <c r="E109" s="120" t="s">
        <v>225</v>
      </c>
      <c r="F109" s="55">
        <v>46231</v>
      </c>
      <c r="G109" s="56">
        <v>1</v>
      </c>
      <c r="H109" s="91">
        <f>Milestones43524343[[#This Row],[BẮT ĐẦU]]+Milestones43524343[[#This Row],[NGÀY]]</f>
        <v>46232</v>
      </c>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row>
    <row r="110" spans="1:65" ht="15" x14ac:dyDescent="0.25">
      <c r="A110" s="50"/>
      <c r="B110" s="129" t="s">
        <v>207</v>
      </c>
      <c r="C110" s="46"/>
      <c r="D110" s="128" t="s">
        <v>203</v>
      </c>
      <c r="E110" s="120" t="s">
        <v>225</v>
      </c>
      <c r="F110" s="55">
        <v>46246</v>
      </c>
      <c r="G110" s="56">
        <v>1</v>
      </c>
      <c r="H110" s="91">
        <v>46246</v>
      </c>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row>
    <row r="111" spans="1:65" ht="15" x14ac:dyDescent="0.25">
      <c r="A111" s="50"/>
      <c r="B111" s="133" t="s">
        <v>208</v>
      </c>
      <c r="C111" s="46"/>
      <c r="D111" s="128" t="s">
        <v>203</v>
      </c>
      <c r="E111" s="48" t="s">
        <v>226</v>
      </c>
      <c r="F111" s="55">
        <f>H110</f>
        <v>46246</v>
      </c>
      <c r="G111" s="56">
        <v>5</v>
      </c>
      <c r="H111" s="91">
        <f>Milestones43524343[[#This Row],[BẮT ĐẦU]]+Milestones43524343[[#This Row],[NGÀY]]</f>
        <v>46251</v>
      </c>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row>
    <row r="112" spans="1:65" x14ac:dyDescent="0.25">
      <c r="A112" s="50"/>
      <c r="B112" s="133" t="s">
        <v>213</v>
      </c>
      <c r="C112" s="46"/>
      <c r="D112" s="128" t="s">
        <v>203</v>
      </c>
      <c r="E112" s="48"/>
      <c r="F112" s="55">
        <f>H111</f>
        <v>46251</v>
      </c>
      <c r="G112" s="56">
        <v>5</v>
      </c>
      <c r="H112" s="91">
        <f>Milestones43524343[[#This Row],[BẮT ĐẦU]]+Milestones43524343[[#This Row],[NGÀY]]</f>
        <v>46256</v>
      </c>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row>
    <row r="113" spans="1:65" x14ac:dyDescent="0.25">
      <c r="A113" s="50"/>
      <c r="B113" s="129" t="s">
        <v>214</v>
      </c>
      <c r="C113" s="46"/>
      <c r="D113" s="128" t="s">
        <v>215</v>
      </c>
      <c r="E113" s="48"/>
      <c r="F113" s="55">
        <f>H112</f>
        <v>46256</v>
      </c>
      <c r="G113" s="56">
        <v>1</v>
      </c>
      <c r="H113" s="91">
        <f>Milestones43524343[[#This Row],[BẮT ĐẦU]]+Milestones43524343[[#This Row],[NGÀY]]</f>
        <v>46257</v>
      </c>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row>
    <row r="114" spans="1:65" ht="15" x14ac:dyDescent="0.25">
      <c r="A114" s="50"/>
      <c r="B114" s="129" t="s">
        <v>216</v>
      </c>
      <c r="C114" s="46"/>
      <c r="D114" s="128"/>
      <c r="E114" s="48"/>
      <c r="F114" s="70">
        <f>H113</f>
        <v>46257</v>
      </c>
      <c r="G114" s="56">
        <v>1</v>
      </c>
      <c r="H114" s="91">
        <f>Milestones43524343[[#This Row],[BẮT ĐẦU]]+Milestones43524343[[#This Row],[NGÀY]]</f>
        <v>46258</v>
      </c>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row>
    <row r="115" spans="1:65" ht="15" x14ac:dyDescent="0.25">
      <c r="A115" s="50"/>
      <c r="B115" s="129" t="s">
        <v>217</v>
      </c>
      <c r="C115" s="46"/>
      <c r="D115" s="128"/>
      <c r="E115" s="48"/>
      <c r="F115" s="55">
        <f>H114</f>
        <v>46258</v>
      </c>
      <c r="G115" s="56">
        <v>1</v>
      </c>
      <c r="H115" s="91">
        <f>Milestones43524343[[#This Row],[BẮT ĐẦU]]+Milestones43524343[[#This Row],[NGÀY]]</f>
        <v>46259</v>
      </c>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row>
    <row r="116" spans="1:65" ht="15" x14ac:dyDescent="0.25">
      <c r="A116" s="50"/>
      <c r="B116" s="129" t="s">
        <v>218</v>
      </c>
      <c r="C116" s="46"/>
      <c r="D116" s="128"/>
      <c r="E116" s="48"/>
      <c r="F116" s="55">
        <f>H115</f>
        <v>46259</v>
      </c>
      <c r="G116" s="56">
        <v>1</v>
      </c>
      <c r="H116" s="91">
        <f>Milestones43524343[[#This Row],[BẮT ĐẦU]]+Milestones43524343[[#This Row],[NGÀY]]</f>
        <v>46260</v>
      </c>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row>
    <row r="117" spans="1:65" ht="15" x14ac:dyDescent="0.25">
      <c r="A117" s="50"/>
      <c r="B117" s="129" t="s">
        <v>219</v>
      </c>
      <c r="C117" s="46"/>
      <c r="D117" s="128"/>
      <c r="E117" s="48"/>
      <c r="F117" s="55">
        <f>H116</f>
        <v>46260</v>
      </c>
      <c r="G117" s="56">
        <v>5</v>
      </c>
      <c r="H117" s="91">
        <f>Milestones43524343[[#This Row],[BẮT ĐẦU]]+Milestones43524343[[#This Row],[NGÀY]]</f>
        <v>46265</v>
      </c>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row>
    <row r="118" spans="1:65" ht="15" x14ac:dyDescent="0.25">
      <c r="A118" s="50"/>
      <c r="B118" s="129" t="s">
        <v>220</v>
      </c>
      <c r="C118" s="46"/>
      <c r="D118" s="128"/>
      <c r="E118" s="48"/>
      <c r="F118" s="55">
        <f>H117</f>
        <v>46265</v>
      </c>
      <c r="G118" s="56">
        <v>3</v>
      </c>
      <c r="H118" s="91">
        <f>Milestones43524343[[#This Row],[BẮT ĐẦU]]+Milestones43524343[[#This Row],[NGÀY]]</f>
        <v>46268</v>
      </c>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row>
    <row r="119" spans="1:65" ht="15" x14ac:dyDescent="0.25">
      <c r="A119" s="50"/>
      <c r="B119" s="129" t="s">
        <v>209</v>
      </c>
      <c r="C119" s="46"/>
      <c r="D119" s="128" t="s">
        <v>117</v>
      </c>
      <c r="E119" s="48"/>
      <c r="F119" s="55">
        <f>H118</f>
        <v>46268</v>
      </c>
      <c r="G119" s="56">
        <v>1</v>
      </c>
      <c r="H119" s="91">
        <f>Milestones43524343[[#This Row],[BẮT ĐẦU]]+Milestones43524343[[#This Row],[NGÀY]]</f>
        <v>46269</v>
      </c>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row>
    <row r="120" spans="1:65" ht="15" x14ac:dyDescent="0.25">
      <c r="A120" s="50"/>
      <c r="B120" s="129" t="s">
        <v>210</v>
      </c>
      <c r="C120" s="46"/>
      <c r="D120" s="128" t="s">
        <v>117</v>
      </c>
      <c r="E120" s="48"/>
      <c r="F120" s="55">
        <f>H119</f>
        <v>46269</v>
      </c>
      <c r="G120" s="56">
        <v>1</v>
      </c>
      <c r="H120" s="91">
        <f>Milestones43524343[[#This Row],[BẮT ĐẦU]]+Milestones43524343[[#This Row],[NGÀY]]</f>
        <v>46270</v>
      </c>
      <c r="J120" s="43"/>
      <c r="K120" s="43"/>
      <c r="L120" s="43"/>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row>
    <row r="121" spans="1:65" ht="15" x14ac:dyDescent="0.25">
      <c r="A121" s="50"/>
      <c r="B121" s="129" t="s">
        <v>211</v>
      </c>
      <c r="C121" s="46"/>
      <c r="D121" s="128" t="s">
        <v>142</v>
      </c>
      <c r="E121" s="48"/>
      <c r="F121" s="55">
        <f>H120</f>
        <v>46270</v>
      </c>
      <c r="G121" s="56">
        <v>1</v>
      </c>
      <c r="H121" s="91">
        <f>Milestones43524343[[#This Row],[BẮT ĐẦU]]+Milestones43524343[[#This Row],[NGÀY]]</f>
        <v>46271</v>
      </c>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row>
    <row r="122" spans="1:65" ht="15" x14ac:dyDescent="0.25">
      <c r="A122" s="50"/>
      <c r="B122" s="129" t="s">
        <v>212</v>
      </c>
      <c r="C122" s="46"/>
      <c r="D122" s="128"/>
      <c r="E122" s="48"/>
      <c r="F122" s="55">
        <f>H121</f>
        <v>46271</v>
      </c>
      <c r="G122" s="56">
        <v>3</v>
      </c>
      <c r="H122" s="91">
        <f>Milestones43524343[[#This Row],[BẮT ĐẦU]]+Milestones43524343[[#This Row],[NGÀY]]</f>
        <v>46274</v>
      </c>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row>
    <row r="123" spans="1:65" ht="15" x14ac:dyDescent="0.25">
      <c r="A123" s="50"/>
      <c r="B123" s="129" t="s">
        <v>221</v>
      </c>
      <c r="C123" s="46"/>
      <c r="D123" s="128" t="s">
        <v>98</v>
      </c>
      <c r="E123" s="48"/>
      <c r="F123" s="55">
        <f>H122+30</f>
        <v>46304</v>
      </c>
      <c r="G123" s="56">
        <v>1</v>
      </c>
      <c r="H123" s="91">
        <f>Milestones43524343[[#This Row],[BẮT ĐẦU]]+Milestones43524343[[#This Row],[NGÀY]]</f>
        <v>46305</v>
      </c>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row>
    <row r="124" spans="1:65" ht="29.25" x14ac:dyDescent="0.25">
      <c r="A124" s="50"/>
      <c r="B124" s="132" t="s">
        <v>222</v>
      </c>
      <c r="C124" s="46"/>
      <c r="D124" s="128"/>
      <c r="E124" s="48"/>
      <c r="F124" s="55"/>
      <c r="G124" s="56"/>
      <c r="H124" s="91">
        <f>Milestones43524343[[#This Row],[BẮT ĐẦU]]+Milestones43524343[[#This Row],[NGÀY]]</f>
        <v>0</v>
      </c>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row>
    <row r="125" spans="1:65" ht="15" x14ac:dyDescent="0.25">
      <c r="A125" s="50"/>
      <c r="B125" s="129" t="s">
        <v>193</v>
      </c>
      <c r="C125" s="46"/>
      <c r="D125" s="128" t="s">
        <v>19</v>
      </c>
      <c r="E125" s="120" t="s">
        <v>225</v>
      </c>
      <c r="F125" s="55">
        <v>46231</v>
      </c>
      <c r="G125" s="56">
        <v>1</v>
      </c>
      <c r="H125" s="91">
        <f>Milestones43524343[[#This Row],[BẮT ĐẦU]]+Milestones43524343[[#This Row],[NGÀY]]</f>
        <v>46232</v>
      </c>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row>
    <row r="126" spans="1:65" ht="15" x14ac:dyDescent="0.25">
      <c r="A126" s="50"/>
      <c r="B126" s="130" t="s">
        <v>202</v>
      </c>
      <c r="C126" s="46"/>
      <c r="D126" s="128" t="s">
        <v>203</v>
      </c>
      <c r="E126" s="120" t="s">
        <v>225</v>
      </c>
      <c r="F126" s="55">
        <v>46246</v>
      </c>
      <c r="G126" s="56">
        <v>1</v>
      </c>
      <c r="H126" s="91">
        <v>46246</v>
      </c>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row>
    <row r="127" spans="1:65" ht="15" x14ac:dyDescent="0.25">
      <c r="A127" s="50"/>
      <c r="B127" s="129" t="s">
        <v>194</v>
      </c>
      <c r="C127" s="46"/>
      <c r="D127" s="128" t="s">
        <v>203</v>
      </c>
      <c r="E127" s="48" t="s">
        <v>226</v>
      </c>
      <c r="F127" s="55">
        <f>H126</f>
        <v>46246</v>
      </c>
      <c r="G127" s="56">
        <v>3</v>
      </c>
      <c r="H127" s="91">
        <f>Milestones43524343[[#This Row],[BẮT ĐẦU]]+Milestones43524343[[#This Row],[NGÀY]]</f>
        <v>46249</v>
      </c>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row>
    <row r="128" spans="1:65" ht="15" x14ac:dyDescent="0.25">
      <c r="A128" s="50"/>
      <c r="B128" s="129" t="s">
        <v>196</v>
      </c>
      <c r="C128" s="46"/>
      <c r="D128" s="128" t="s">
        <v>117</v>
      </c>
      <c r="E128" s="48"/>
      <c r="F128" s="55">
        <f>H127</f>
        <v>46249</v>
      </c>
      <c r="G128" s="56">
        <v>1</v>
      </c>
      <c r="H128" s="91">
        <f>Milestones43524343[[#This Row],[BẮT ĐẦU]]+Milestones43524343[[#This Row],[NGÀY]]</f>
        <v>46250</v>
      </c>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row>
    <row r="129" spans="1:65" ht="15" x14ac:dyDescent="0.25">
      <c r="A129" s="50"/>
      <c r="B129" s="129" t="s">
        <v>195</v>
      </c>
      <c r="C129" s="46"/>
      <c r="D129" s="128" t="s">
        <v>117</v>
      </c>
      <c r="E129" s="48"/>
      <c r="F129" s="55">
        <f>H128</f>
        <v>46250</v>
      </c>
      <c r="G129" s="56">
        <v>1</v>
      </c>
      <c r="H129" s="91">
        <f>Milestones43524343[[#This Row],[BẮT ĐẦU]]+Milestones43524343[[#This Row],[NGÀY]]</f>
        <v>46251</v>
      </c>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row>
    <row r="130" spans="1:65" ht="15" x14ac:dyDescent="0.25">
      <c r="A130" s="50"/>
      <c r="B130" s="129" t="s">
        <v>197</v>
      </c>
      <c r="C130" s="46"/>
      <c r="D130" s="128" t="s">
        <v>142</v>
      </c>
      <c r="E130" s="48"/>
      <c r="F130" s="55">
        <f>H129</f>
        <v>46251</v>
      </c>
      <c r="G130" s="56">
        <v>1</v>
      </c>
      <c r="H130" s="91">
        <f>Milestones43524343[[#This Row],[BẮT ĐẦU]]+Milestones43524343[[#This Row],[NGÀY]]</f>
        <v>46252</v>
      </c>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row>
    <row r="131" spans="1:65" ht="15" x14ac:dyDescent="0.25">
      <c r="A131" s="50"/>
      <c r="B131" s="129" t="s">
        <v>198</v>
      </c>
      <c r="C131" s="46"/>
      <c r="D131" s="128"/>
      <c r="E131" s="48"/>
      <c r="F131" s="55">
        <f>H130</f>
        <v>46252</v>
      </c>
      <c r="G131" s="56">
        <v>3</v>
      </c>
      <c r="H131" s="91">
        <f>Milestones43524343[[#This Row],[BẮT ĐẦU]]+Milestones43524343[[#This Row],[NGÀY]]</f>
        <v>46255</v>
      </c>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row>
    <row r="132" spans="1:65" ht="15" x14ac:dyDescent="0.25">
      <c r="A132" s="50"/>
      <c r="B132" s="129" t="s">
        <v>223</v>
      </c>
      <c r="C132" s="46"/>
      <c r="D132" s="128"/>
      <c r="E132" s="48"/>
      <c r="F132" s="55">
        <f>H123</f>
        <v>46305</v>
      </c>
      <c r="G132" s="56">
        <v>10</v>
      </c>
      <c r="H132" s="91">
        <f>Milestones43524343[[#This Row],[BẮT ĐẦU]]+Milestones43524343[[#This Row],[NGÀY]]</f>
        <v>46315</v>
      </c>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row>
    <row r="133" spans="1:65" ht="15" x14ac:dyDescent="0.25">
      <c r="A133" s="60" t="s">
        <v>153</v>
      </c>
      <c r="B133" s="61" t="s">
        <v>144</v>
      </c>
      <c r="C133" s="46"/>
      <c r="D133" s="51" t="s">
        <v>98</v>
      </c>
      <c r="E133" s="48"/>
      <c r="F133" s="55">
        <f>H122</f>
        <v>46274</v>
      </c>
      <c r="G133" s="71">
        <v>30</v>
      </c>
      <c r="H133" s="116">
        <f>Milestones43524343[[#This Row],[BẮT ĐẦU]]+Milestones43524343[[#This Row],[NGÀY]]</f>
        <v>46304</v>
      </c>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row>
    <row r="134" spans="1:65" x14ac:dyDescent="0.25">
      <c r="A134" s="60" t="s">
        <v>161</v>
      </c>
      <c r="B134" s="100" t="s">
        <v>145</v>
      </c>
      <c r="C134" s="46"/>
      <c r="D134" s="47" t="s">
        <v>96</v>
      </c>
      <c r="E134" s="48"/>
      <c r="F134" s="55">
        <f t="shared" si="5"/>
        <v>46304</v>
      </c>
      <c r="G134" s="71">
        <v>3</v>
      </c>
      <c r="H134" s="57">
        <f>Milestones43524343[[#This Row],[BẮT ĐẦU]]+Milestones43524343[[#This Row],[NGÀY]]</f>
        <v>46307</v>
      </c>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row>
    <row r="135" spans="1:65" ht="15" x14ac:dyDescent="0.25">
      <c r="A135" s="60" t="s">
        <v>182</v>
      </c>
      <c r="B135" s="100" t="s">
        <v>146</v>
      </c>
      <c r="C135" s="46"/>
      <c r="D135" s="47" t="s">
        <v>142</v>
      </c>
      <c r="E135" s="48"/>
      <c r="F135" s="55">
        <f t="shared" si="5"/>
        <v>46307</v>
      </c>
      <c r="G135" s="71">
        <v>1</v>
      </c>
      <c r="H135" s="116">
        <f>Milestones43524343[[#This Row],[BẮT ĐẦU]]+Milestones43524343[[#This Row],[NGÀY]]</f>
        <v>46308</v>
      </c>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row>
    <row r="136" spans="1:65" ht="28.5" x14ac:dyDescent="0.25">
      <c r="A136" s="37">
        <v>5</v>
      </c>
      <c r="B136" s="38" t="s">
        <v>147</v>
      </c>
      <c r="C136" s="39"/>
      <c r="D136" s="40" t="s">
        <v>19</v>
      </c>
      <c r="E136" s="41"/>
      <c r="F136" s="98">
        <f t="shared" si="5"/>
        <v>46308</v>
      </c>
      <c r="G136" s="99"/>
      <c r="H136" s="97">
        <f>Milestones43524343[[#This Row],[BẮT ĐẦU]]+Milestones43524343[[#This Row],[NGÀY]]</f>
        <v>46308</v>
      </c>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row>
    <row r="137" spans="1:65" x14ac:dyDescent="0.25">
      <c r="A137" s="60" t="s">
        <v>183</v>
      </c>
      <c r="B137" s="100" t="s">
        <v>149</v>
      </c>
      <c r="C137" s="46"/>
      <c r="D137" s="47" t="s">
        <v>19</v>
      </c>
      <c r="E137" s="48"/>
      <c r="F137" s="55"/>
      <c r="G137" s="71"/>
      <c r="H137" s="57"/>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row>
    <row r="138" spans="1:65" x14ac:dyDescent="0.25">
      <c r="A138" s="50" t="s">
        <v>184</v>
      </c>
      <c r="B138" s="51" t="s">
        <v>150</v>
      </c>
      <c r="C138" s="46"/>
      <c r="D138" s="51" t="s">
        <v>19</v>
      </c>
      <c r="E138" s="48"/>
      <c r="F138" s="55">
        <f>H136</f>
        <v>46308</v>
      </c>
      <c r="G138" s="71">
        <v>3</v>
      </c>
      <c r="H138" s="57">
        <f>Milestones43524343[[#This Row],[BẮT ĐẦU]]+Milestones43524343[[#This Row],[NGÀY]]</f>
        <v>46311</v>
      </c>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row>
    <row r="139" spans="1:65" ht="15" x14ac:dyDescent="0.25">
      <c r="A139" s="50" t="s">
        <v>185</v>
      </c>
      <c r="B139" s="47" t="s">
        <v>151</v>
      </c>
      <c r="C139" s="46"/>
      <c r="D139" s="47" t="s">
        <v>140</v>
      </c>
      <c r="E139" s="48"/>
      <c r="F139" s="55">
        <f>H138</f>
        <v>46311</v>
      </c>
      <c r="G139" s="71">
        <v>3</v>
      </c>
      <c r="H139" s="57">
        <f>Milestones43524343[[#This Row],[BẮT ĐẦU]]+Milestones43524343[[#This Row],[NGÀY]]</f>
        <v>46314</v>
      </c>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row>
    <row r="140" spans="1:65" ht="15" x14ac:dyDescent="0.25">
      <c r="A140" s="50" t="s">
        <v>186</v>
      </c>
      <c r="B140" s="51" t="s">
        <v>152</v>
      </c>
      <c r="C140" s="46"/>
      <c r="D140" s="51" t="s">
        <v>142</v>
      </c>
      <c r="E140" s="48"/>
      <c r="F140" s="55">
        <f>H139</f>
        <v>46314</v>
      </c>
      <c r="G140" s="71">
        <v>1</v>
      </c>
      <c r="H140" s="57">
        <f>Milestones43524343[[#This Row],[BẮT ĐẦU]]+Milestones43524343[[#This Row],[NGÀY]]</f>
        <v>46315</v>
      </c>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row>
    <row r="141" spans="1:65" x14ac:dyDescent="0.25">
      <c r="A141" s="60" t="s">
        <v>187</v>
      </c>
      <c r="B141" s="100" t="s">
        <v>224</v>
      </c>
      <c r="C141" s="46"/>
      <c r="D141" s="47" t="s">
        <v>19</v>
      </c>
      <c r="E141" s="48"/>
      <c r="F141" s="55">
        <f>H140</f>
        <v>46315</v>
      </c>
      <c r="G141" s="71">
        <f>Milestones43524343[[#This Row],[KẾT THÚC]]-Milestones43524343[[#This Row],[BẮT ĐẦU]]</f>
        <v>29</v>
      </c>
      <c r="H141" s="57">
        <f>H155</f>
        <v>46344</v>
      </c>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row>
    <row r="142" spans="1:65" ht="15" x14ac:dyDescent="0.25">
      <c r="A142" s="60"/>
      <c r="B142" s="129" t="s">
        <v>193</v>
      </c>
      <c r="C142" s="46"/>
      <c r="D142" s="128" t="s">
        <v>19</v>
      </c>
      <c r="E142" s="48"/>
      <c r="F142" s="55">
        <f>H140</f>
        <v>46315</v>
      </c>
      <c r="G142" s="71">
        <v>1</v>
      </c>
      <c r="H142" s="91">
        <f>Milestones43524343[[#This Row],[BẮT ĐẦU]]+Milestones43524343[[#This Row],[NGÀY]]</f>
        <v>46316</v>
      </c>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row>
    <row r="143" spans="1:65" ht="15" x14ac:dyDescent="0.25">
      <c r="A143" s="60"/>
      <c r="B143" s="129" t="s">
        <v>207</v>
      </c>
      <c r="C143" s="46"/>
      <c r="D143" s="128" t="s">
        <v>203</v>
      </c>
      <c r="E143" s="48"/>
      <c r="F143" s="55">
        <f>F142</f>
        <v>46315</v>
      </c>
      <c r="G143" s="71">
        <v>1</v>
      </c>
      <c r="H143" s="91">
        <f>Milestones43524343[[#This Row],[BẮT ĐẦU]]+Milestones43524343[[#This Row],[NGÀY]]</f>
        <v>46316</v>
      </c>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row>
    <row r="144" spans="1:65" ht="15" x14ac:dyDescent="0.25">
      <c r="A144" s="60"/>
      <c r="B144" s="133" t="s">
        <v>208</v>
      </c>
      <c r="C144" s="46"/>
      <c r="D144" s="128" t="s">
        <v>203</v>
      </c>
      <c r="E144" s="48"/>
      <c r="F144" s="55">
        <f>H143</f>
        <v>46316</v>
      </c>
      <c r="G144" s="71">
        <v>5</v>
      </c>
      <c r="H144" s="91">
        <f>Milestones43524343[[#This Row],[BẮT ĐẦU]]+Milestones43524343[[#This Row],[NGÀY]]</f>
        <v>46321</v>
      </c>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row>
    <row r="145" spans="1:65" x14ac:dyDescent="0.25">
      <c r="A145" s="60"/>
      <c r="B145" s="133" t="s">
        <v>213</v>
      </c>
      <c r="C145" s="46"/>
      <c r="D145" s="128" t="s">
        <v>203</v>
      </c>
      <c r="E145" s="48"/>
      <c r="F145" s="55">
        <f>H144</f>
        <v>46321</v>
      </c>
      <c r="G145" s="71">
        <v>5</v>
      </c>
      <c r="H145" s="91">
        <f>Milestones43524343[[#This Row],[BẮT ĐẦU]]+Milestones43524343[[#This Row],[NGÀY]]</f>
        <v>46326</v>
      </c>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row>
    <row r="146" spans="1:65" x14ac:dyDescent="0.25">
      <c r="A146" s="60"/>
      <c r="B146" s="129" t="s">
        <v>214</v>
      </c>
      <c r="C146" s="46"/>
      <c r="D146" s="128" t="s">
        <v>215</v>
      </c>
      <c r="E146" s="48"/>
      <c r="F146" s="55">
        <f>H145</f>
        <v>46326</v>
      </c>
      <c r="G146" s="71">
        <v>1</v>
      </c>
      <c r="H146" s="91">
        <f>Milestones43524343[[#This Row],[BẮT ĐẦU]]+Milestones43524343[[#This Row],[NGÀY]]</f>
        <v>46327</v>
      </c>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row>
    <row r="147" spans="1:65" ht="15" x14ac:dyDescent="0.25">
      <c r="A147" s="60"/>
      <c r="B147" s="129" t="s">
        <v>216</v>
      </c>
      <c r="C147" s="46"/>
      <c r="D147" s="128"/>
      <c r="E147" s="48"/>
      <c r="F147" s="70">
        <f>H146</f>
        <v>46327</v>
      </c>
      <c r="G147" s="71">
        <v>1</v>
      </c>
      <c r="H147" s="91">
        <f>Milestones43524343[[#This Row],[BẮT ĐẦU]]+Milestones43524343[[#This Row],[NGÀY]]</f>
        <v>46328</v>
      </c>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row>
    <row r="148" spans="1:65" ht="15" x14ac:dyDescent="0.25">
      <c r="A148" s="60"/>
      <c r="B148" s="129" t="s">
        <v>217</v>
      </c>
      <c r="C148" s="46"/>
      <c r="D148" s="128"/>
      <c r="E148" s="48"/>
      <c r="F148" s="55">
        <f>H147</f>
        <v>46328</v>
      </c>
      <c r="G148" s="71">
        <v>1</v>
      </c>
      <c r="H148" s="91">
        <f>Milestones43524343[[#This Row],[BẮT ĐẦU]]+Milestones43524343[[#This Row],[NGÀY]]</f>
        <v>46329</v>
      </c>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row>
    <row r="149" spans="1:65" ht="15" x14ac:dyDescent="0.25">
      <c r="A149" s="60"/>
      <c r="B149" s="129" t="s">
        <v>218</v>
      </c>
      <c r="C149" s="46"/>
      <c r="D149" s="128"/>
      <c r="E149" s="48"/>
      <c r="F149" s="55">
        <f>H148</f>
        <v>46329</v>
      </c>
      <c r="G149" s="71">
        <v>1</v>
      </c>
      <c r="H149" s="91">
        <f>Milestones43524343[[#This Row],[BẮT ĐẦU]]+Milestones43524343[[#This Row],[NGÀY]]</f>
        <v>46330</v>
      </c>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row>
    <row r="150" spans="1:65" ht="15" x14ac:dyDescent="0.25">
      <c r="A150" s="60"/>
      <c r="B150" s="129" t="s">
        <v>219</v>
      </c>
      <c r="C150" s="46"/>
      <c r="D150" s="128"/>
      <c r="E150" s="48"/>
      <c r="F150" s="55">
        <f>H149</f>
        <v>46330</v>
      </c>
      <c r="G150" s="71">
        <v>5</v>
      </c>
      <c r="H150" s="91">
        <f>Milestones43524343[[#This Row],[BẮT ĐẦU]]+Milestones43524343[[#This Row],[NGÀY]]</f>
        <v>46335</v>
      </c>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row>
    <row r="151" spans="1:65" ht="15" x14ac:dyDescent="0.25">
      <c r="A151" s="60"/>
      <c r="B151" s="129" t="s">
        <v>220</v>
      </c>
      <c r="C151" s="46"/>
      <c r="D151" s="128"/>
      <c r="E151" s="48"/>
      <c r="F151" s="55">
        <f>H150</f>
        <v>46335</v>
      </c>
      <c r="G151" s="71">
        <v>3</v>
      </c>
      <c r="H151" s="91">
        <f>Milestones43524343[[#This Row],[BẮT ĐẦU]]+Milestones43524343[[#This Row],[NGÀY]]</f>
        <v>46338</v>
      </c>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row>
    <row r="152" spans="1:65" ht="15" x14ac:dyDescent="0.25">
      <c r="A152" s="60"/>
      <c r="B152" s="129" t="s">
        <v>209</v>
      </c>
      <c r="C152" s="46"/>
      <c r="D152" s="128" t="s">
        <v>117</v>
      </c>
      <c r="E152" s="48"/>
      <c r="F152" s="55">
        <f>H151</f>
        <v>46338</v>
      </c>
      <c r="G152" s="71">
        <v>1</v>
      </c>
      <c r="H152" s="91">
        <f>Milestones43524343[[#This Row],[BẮT ĐẦU]]+Milestones43524343[[#This Row],[NGÀY]]</f>
        <v>46339</v>
      </c>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row>
    <row r="153" spans="1:65" ht="15" x14ac:dyDescent="0.25">
      <c r="A153" s="60"/>
      <c r="B153" s="129" t="s">
        <v>210</v>
      </c>
      <c r="C153" s="46"/>
      <c r="D153" s="128" t="s">
        <v>117</v>
      </c>
      <c r="E153" s="48"/>
      <c r="F153" s="55">
        <f>H152</f>
        <v>46339</v>
      </c>
      <c r="G153" s="71">
        <v>1</v>
      </c>
      <c r="H153" s="91">
        <f>Milestones43524343[[#This Row],[BẮT ĐẦU]]+Milestones43524343[[#This Row],[NGÀY]]</f>
        <v>46340</v>
      </c>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row>
    <row r="154" spans="1:65" ht="15" x14ac:dyDescent="0.25">
      <c r="A154" s="60"/>
      <c r="B154" s="129" t="s">
        <v>211</v>
      </c>
      <c r="C154" s="46"/>
      <c r="D154" s="128" t="s">
        <v>142</v>
      </c>
      <c r="E154" s="48"/>
      <c r="F154" s="55">
        <f>H153</f>
        <v>46340</v>
      </c>
      <c r="G154" s="71">
        <v>1</v>
      </c>
      <c r="H154" s="91">
        <f>Milestones43524343[[#This Row],[BẮT ĐẦU]]+Milestones43524343[[#This Row],[NGÀY]]</f>
        <v>46341</v>
      </c>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row>
    <row r="155" spans="1:65" ht="15" x14ac:dyDescent="0.25">
      <c r="A155" s="60"/>
      <c r="B155" s="129" t="s">
        <v>212</v>
      </c>
      <c r="C155" s="46"/>
      <c r="D155" s="128"/>
      <c r="E155" s="48"/>
      <c r="F155" s="55">
        <f>H154</f>
        <v>46341</v>
      </c>
      <c r="G155" s="71">
        <v>3</v>
      </c>
      <c r="H155" s="91">
        <f>Milestones43524343[[#This Row],[BẮT ĐẦU]]+Milestones43524343[[#This Row],[NGÀY]]</f>
        <v>46344</v>
      </c>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row>
    <row r="156" spans="1:65" ht="28.5" x14ac:dyDescent="0.25">
      <c r="A156" s="37">
        <v>6</v>
      </c>
      <c r="B156" s="38" t="s">
        <v>163</v>
      </c>
      <c r="C156" s="39"/>
      <c r="D156" s="40" t="s">
        <v>19</v>
      </c>
      <c r="E156" s="41"/>
      <c r="F156" s="98">
        <f>H155</f>
        <v>46344</v>
      </c>
      <c r="G156" s="101">
        <v>200</v>
      </c>
      <c r="H156" s="97">
        <f>Milestones43524343[[#This Row],[BẮT ĐẦU]]+Milestones43524343[[#This Row],[NGÀY]]</f>
        <v>46544</v>
      </c>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row>
    <row r="157" spans="1:65" ht="15" x14ac:dyDescent="0.25">
      <c r="A157" s="37">
        <v>7</v>
      </c>
      <c r="B157" s="38" t="s">
        <v>164</v>
      </c>
      <c r="C157" s="39"/>
      <c r="D157" s="40" t="s">
        <v>19</v>
      </c>
      <c r="E157" s="41"/>
      <c r="F157" s="98">
        <f t="shared" ref="F157:F162" si="6">H156</f>
        <v>46544</v>
      </c>
      <c r="G157" s="101">
        <v>200</v>
      </c>
      <c r="H157" s="97">
        <f>Milestones43524343[[#This Row],[BẮT ĐẦU]]+Milestones43524343[[#This Row],[NGÀY]]</f>
        <v>46744</v>
      </c>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row>
    <row r="158" spans="1:65" ht="15" x14ac:dyDescent="0.25">
      <c r="A158" s="37">
        <v>8</v>
      </c>
      <c r="B158" s="38" t="s">
        <v>165</v>
      </c>
      <c r="C158" s="39"/>
      <c r="D158" s="40" t="s">
        <v>39</v>
      </c>
      <c r="E158" s="41"/>
      <c r="F158" s="98">
        <f t="shared" si="6"/>
        <v>46744</v>
      </c>
      <c r="G158" s="101">
        <v>200</v>
      </c>
      <c r="H158" s="97">
        <f>Milestones43524343[[#This Row],[BẮT ĐẦU]]+Milestones43524343[[#This Row],[NGÀY]]</f>
        <v>46944</v>
      </c>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row>
    <row r="159" spans="1:65" ht="28.5" x14ac:dyDescent="0.25">
      <c r="A159" s="37">
        <v>9</v>
      </c>
      <c r="B159" s="38" t="s">
        <v>166</v>
      </c>
      <c r="C159" s="39"/>
      <c r="D159" s="40" t="s">
        <v>39</v>
      </c>
      <c r="E159" s="41"/>
      <c r="F159" s="98">
        <f t="shared" si="6"/>
        <v>46944</v>
      </c>
      <c r="G159" s="101">
        <v>30</v>
      </c>
      <c r="H159" s="97">
        <f>Milestones43524343[[#This Row],[BẮT ĐẦU]]+Milestones43524343[[#This Row],[NGÀY]]</f>
        <v>46974</v>
      </c>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row>
    <row r="160" spans="1:65" ht="42.75" x14ac:dyDescent="0.25">
      <c r="A160" s="37">
        <v>10</v>
      </c>
      <c r="B160" s="38" t="s">
        <v>167</v>
      </c>
      <c r="C160" s="39"/>
      <c r="D160" s="40" t="s">
        <v>39</v>
      </c>
      <c r="E160" s="41"/>
      <c r="F160" s="98">
        <f t="shared" si="6"/>
        <v>46974</v>
      </c>
      <c r="G160" s="101">
        <v>30</v>
      </c>
      <c r="H160" s="97">
        <f>Milestones43524343[[#This Row],[BẮT ĐẦU]]+Milestones43524343[[#This Row],[NGÀY]]</f>
        <v>47004</v>
      </c>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row>
    <row r="161" spans="1:65" ht="15" x14ac:dyDescent="0.25">
      <c r="A161" s="37">
        <v>11</v>
      </c>
      <c r="B161" s="38" t="s">
        <v>168</v>
      </c>
      <c r="C161" s="39"/>
      <c r="D161" s="40" t="s">
        <v>19</v>
      </c>
      <c r="E161" s="41"/>
      <c r="F161" s="98">
        <f t="shared" si="6"/>
        <v>47004</v>
      </c>
      <c r="G161" s="101">
        <v>30</v>
      </c>
      <c r="H161" s="97">
        <f>Milestones43524343[[#This Row],[BẮT ĐẦU]]+Milestones43524343[[#This Row],[NGÀY]]</f>
        <v>47034</v>
      </c>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row>
    <row r="162" spans="1:65" ht="28.5" x14ac:dyDescent="0.25">
      <c r="A162" s="37">
        <v>12</v>
      </c>
      <c r="B162" s="38" t="s">
        <v>169</v>
      </c>
      <c r="C162" s="39"/>
      <c r="D162" s="40" t="s">
        <v>19</v>
      </c>
      <c r="E162" s="41"/>
      <c r="F162" s="98">
        <f t="shared" si="6"/>
        <v>47034</v>
      </c>
      <c r="G162" s="101">
        <v>30</v>
      </c>
      <c r="H162" s="97">
        <f>Milestones43524343[[#This Row],[BẮT ĐẦU]]+Milestones43524343[[#This Row],[NGÀY]]</f>
        <v>47064</v>
      </c>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row>
    <row r="163" spans="1:65" ht="15" x14ac:dyDescent="0.25">
      <c r="A163" s="102" t="s">
        <v>170</v>
      </c>
      <c r="B163" s="103" t="s">
        <v>171</v>
      </c>
      <c r="C163" s="39"/>
      <c r="D163" s="40"/>
      <c r="E163" s="41"/>
      <c r="F163" s="98"/>
      <c r="G163" s="101"/>
      <c r="H163" s="97"/>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row>
    <row r="164" spans="1:65" ht="15" x14ac:dyDescent="0.25">
      <c r="A164" s="37">
        <v>1</v>
      </c>
      <c r="B164" s="38" t="s">
        <v>172</v>
      </c>
      <c r="C164" s="39"/>
      <c r="D164" s="40" t="s">
        <v>19</v>
      </c>
      <c r="E164" s="41"/>
      <c r="F164" s="98">
        <f>H161</f>
        <v>47034</v>
      </c>
      <c r="G164" s="101">
        <v>365</v>
      </c>
      <c r="H164" s="97">
        <f>Milestones43524343[[#This Row],[BẮT ĐẦU]]+Milestones43524343[[#This Row],[NGÀY]]</f>
        <v>47399</v>
      </c>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row>
    <row r="165" spans="1:65" ht="15" x14ac:dyDescent="0.25">
      <c r="A165" s="37">
        <v>2</v>
      </c>
      <c r="B165" s="38" t="s">
        <v>173</v>
      </c>
      <c r="C165" s="39"/>
      <c r="D165" s="40" t="s">
        <v>19</v>
      </c>
      <c r="E165" s="41"/>
      <c r="F165" s="98">
        <f>H161</f>
        <v>47034</v>
      </c>
      <c r="G165" s="101">
        <v>365</v>
      </c>
      <c r="H165" s="97">
        <f>Milestones43524343[[#This Row],[BẮT ĐẦU]]+Milestones43524343[[#This Row],[NGÀY]]</f>
        <v>47399</v>
      </c>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row>
    <row r="166" spans="1:65" ht="15" x14ac:dyDescent="0.25">
      <c r="A166" s="37">
        <v>3</v>
      </c>
      <c r="B166" s="38" t="s">
        <v>174</v>
      </c>
      <c r="C166" s="39"/>
      <c r="D166" s="40" t="s">
        <v>19</v>
      </c>
      <c r="E166" s="41"/>
      <c r="F166" s="98">
        <f>H161</f>
        <v>47034</v>
      </c>
      <c r="G166" s="101">
        <v>60</v>
      </c>
      <c r="H166" s="97">
        <f>Milestones43524343[[#This Row],[BẮT ĐẦU]]+Milestones43524343[[#This Row],[NGÀY]]</f>
        <v>47094</v>
      </c>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row>
    <row r="167" spans="1:65" s="43" customFormat="1" x14ac:dyDescent="0.25">
      <c r="A167" s="1"/>
      <c r="B167" s="104" t="s">
        <v>175</v>
      </c>
      <c r="C167" s="105"/>
      <c r="D167" s="105"/>
      <c r="E167" s="6"/>
      <c r="F167" s="106"/>
      <c r="G167" s="107"/>
      <c r="H167" s="108"/>
      <c r="I167" s="105"/>
      <c r="J167" s="109"/>
      <c r="K167" s="109"/>
      <c r="L167" s="109"/>
      <c r="M167" s="109"/>
      <c r="N167" s="109"/>
      <c r="O167" s="109"/>
      <c r="P167" s="109"/>
      <c r="Q167" s="109"/>
      <c r="R167" s="109"/>
      <c r="S167" s="109"/>
      <c r="T167" s="109"/>
      <c r="U167" s="109"/>
      <c r="V167" s="109"/>
      <c r="W167" s="109"/>
      <c r="X167" s="109"/>
      <c r="Y167" s="109"/>
      <c r="Z167" s="109"/>
      <c r="AA167" s="109"/>
      <c r="AB167" s="109"/>
      <c r="AC167" s="109"/>
      <c r="AD167" s="109"/>
      <c r="AE167" s="109"/>
      <c r="AF167" s="109"/>
      <c r="AG167" s="109"/>
      <c r="AH167" s="109"/>
      <c r="AI167" s="109"/>
      <c r="AJ167" s="109"/>
      <c r="AK167" s="109"/>
      <c r="AL167" s="109"/>
      <c r="AM167" s="109"/>
      <c r="AN167" s="109"/>
      <c r="AO167" s="109"/>
      <c r="AP167" s="109"/>
      <c r="AQ167" s="109"/>
      <c r="AR167" s="109"/>
      <c r="AS167" s="109"/>
      <c r="AT167" s="109"/>
      <c r="AU167" s="109"/>
      <c r="AV167" s="109"/>
      <c r="AW167" s="109"/>
      <c r="AX167" s="109"/>
      <c r="AY167" s="109"/>
      <c r="AZ167" s="109"/>
      <c r="BA167" s="109"/>
      <c r="BB167" s="109"/>
      <c r="BC167" s="109"/>
      <c r="BD167" s="109"/>
      <c r="BE167" s="109"/>
      <c r="BF167" s="109"/>
      <c r="BG167" s="109"/>
      <c r="BH167" s="109"/>
      <c r="BI167" s="109"/>
      <c r="BJ167" s="109"/>
      <c r="BK167" s="109"/>
      <c r="BL167" s="109"/>
      <c r="BM167" s="109"/>
    </row>
    <row r="168" spans="1:65" ht="30" customHeight="1" x14ac:dyDescent="0.25">
      <c r="D168" s="111"/>
      <c r="G168" s="113"/>
      <c r="H168" s="113"/>
      <c r="I168" s="114"/>
    </row>
    <row r="169" spans="1:65" ht="30" customHeight="1" x14ac:dyDescent="0.25">
      <c r="D169" s="115"/>
    </row>
  </sheetData>
  <mergeCells count="6">
    <mergeCell ref="B1:BM1"/>
    <mergeCell ref="J2:M2"/>
    <mergeCell ref="O2:R2"/>
    <mergeCell ref="T2:W2"/>
    <mergeCell ref="Y2:AB2"/>
    <mergeCell ref="AD2:AG2"/>
  </mergeCells>
  <phoneticPr fontId="29" type="noConversion"/>
  <conditionalFormatting sqref="J3:AN3">
    <cfRule type="expression" dxfId="27" priority="4">
      <formula>J$4&lt;=EOMONTH($J$4,0)</formula>
    </cfRule>
  </conditionalFormatting>
  <conditionalFormatting sqref="J3:BM3">
    <cfRule type="expression" dxfId="26" priority="2">
      <formula>AND(J$4&lt;=EOMONTH($J$4,1),J$4&gt;EOMONTH($J$4,0))</formula>
    </cfRule>
  </conditionalFormatting>
  <conditionalFormatting sqref="J4:BM46 J47:L47 M47:BM49 J48:K48 J49:L49 J50:BM167">
    <cfRule type="expression" dxfId="25" priority="1">
      <formula>AND(TODAY()&gt;=J$4,TODAY()&lt;K$4)</formula>
    </cfRule>
  </conditionalFormatting>
  <conditionalFormatting sqref="J7:BM46 J47:L47 M47:BM49 J48:K48 J49:L49 J50:BM166">
    <cfRule type="expression" dxfId="24" priority="12" stopIfTrue="1">
      <formula>AND($C7="Low Risk",J$4&gt;=$F7,J$4&lt;=$F7+$G7-1)</formula>
    </cfRule>
    <cfRule type="expression" dxfId="23" priority="13" stopIfTrue="1">
      <formula>AND($C7="High Risk",J$4&gt;=$F7,J$4&lt;=$F7+$G7-1)</formula>
    </cfRule>
    <cfRule type="expression" dxfId="22" priority="14" stopIfTrue="1">
      <formula>AND($C7="On Track",J$4&gt;=$F7,J$4&lt;=$F7+$G7-1)</formula>
    </cfRule>
    <cfRule type="expression" dxfId="21" priority="15" stopIfTrue="1">
      <formula>AND($C7="Med Risk",J$4&gt;=$F7,J$4&lt;=$F7+$G7-1)</formula>
    </cfRule>
    <cfRule type="expression" dxfId="20" priority="16" stopIfTrue="1">
      <formula>AND(LEN($C7)=0,J$4&gt;=$F7,J$4&lt;=$F7+$G7-1)</formula>
    </cfRule>
  </conditionalFormatting>
  <conditionalFormatting sqref="J167:BM167">
    <cfRule type="expression" dxfId="19" priority="6" stopIfTrue="1">
      <formula>AND(#REF!="Low Risk",J$4&gt;=#REF!,J$4&lt;=#REF!+#REF!-1)</formula>
    </cfRule>
    <cfRule type="expression" dxfId="18" priority="7" stopIfTrue="1">
      <formula>AND(#REF!="High Risk",J$4&gt;=#REF!,J$4&lt;=#REF!+#REF!-1)</formula>
    </cfRule>
    <cfRule type="expression" dxfId="17" priority="8" stopIfTrue="1">
      <formula>AND(#REF!="On Track",J$4&gt;=#REF!,J$4&lt;=#REF!+#REF!-1)</formula>
    </cfRule>
    <cfRule type="expression" dxfId="16" priority="9" stopIfTrue="1">
      <formula>AND(#REF!="Med Risk",J$4&gt;=#REF!,J$4&lt;=#REF!+#REF!-1)</formula>
    </cfRule>
    <cfRule type="expression" dxfId="15" priority="10" stopIfTrue="1">
      <formula>AND(LEN(#REF!)=0,J$4&gt;=#REF!,J$4&lt;=#REF!+#REF!-1)</formula>
    </cfRule>
  </conditionalFormatting>
  <conditionalFormatting sqref="K3:BM3">
    <cfRule type="expression" dxfId="14" priority="3">
      <formula>AND(K$4&lt;=EOMONTH($J$4,2),K$4&gt;EOMONTH($J$4,0),K$4&gt;EOMONTH($J$4,1))</formula>
    </cfRule>
  </conditionalFormatting>
  <dataValidations count="9">
    <dataValidation type="whole" operator="greaterThanOrEqual" allowBlank="1" showInputMessage="1" promptTitle="Scrolling Increment" prompt="Changing this number will scroll the Gantt Chart view." sqref="C4" xr:uid="{CD6D7B14-90FC-4A4A-B3B1-3FF8C83EA5DE}">
      <formula1>0</formula1>
    </dataValidation>
    <dataValidation allowBlank="1" showInputMessage="1" showErrorMessage="1" prompt="This row marks the end of the Gantt milestone data. DO NOT enter anything in this row. _x000a_To add more items, insert new rows above this one._x000a_" sqref="A167" xr:uid="{381524AD-E296-4DF2-B35A-275B1B9BE535}"/>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6" xr:uid="{A6C42050-0EC9-44B8-923E-1C479DA4885C}"/>
    <dataValidation allowBlank="1" showInputMessage="1" showErrorMessage="1" prompt="A scrollbar is in cells I8 through BL8. _x000a_To jump forward or backward in the timeline, enter a value of 0 or higher in cell C7._x000a_A value of 0 takes you to the beginning of the chart." sqref="A5" xr:uid="{8208F198-B0F9-4C81-BDD0-47F1274872DF}"/>
    <dataValidation allowBlank="1" showInputMessage="1" showErrorMessage="1" prompt="Cells I9 through BL9 contain the day number of the month for the Month represented in the cell block above each date cell and are auto calculated._x000a_Do not modify these cells._x000a_" sqref="A4" xr:uid="{FADFFFB2-A17E-4893-BDEE-BF9CFE12D4B3}"/>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3" xr:uid="{B7E11E05-6021-4ABC-86D0-3499E2C20ACE}"/>
    <dataValidation allowBlank="1" showInputMessage="1" showErrorMessage="1" prompt="Enter Company Name in cell B4._x000a_A legend is in cells I4 through AC4.  The Legend label is in cell G4." sqref="A2" xr:uid="{18B5D03B-F9EE-4457-BDE8-14E03602020F}"/>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1" xr:uid="{A553C9F1-A418-41A2-8CBE-34F8982E5DD3}"/>
    <dataValidation type="list" allowBlank="1" showInputMessage="1" showErrorMessage="1" sqref="C7:C166" xr:uid="{5D4921DC-C45F-4F4F-8A96-79459C8B5090}">
      <formula1>"Goal,Milestone,On Track, Low Risk, Med Risk, High Risk"</formula1>
    </dataValidation>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Scroll Bar 1">
              <controlPr defaultSize="0" autoPict="0" altText="Scroll bar to scroll through the Ghantt project timeline.">
                <anchor moveWithCells="1">
                  <from>
                    <xdr:col>9</xdr:col>
                    <xdr:colOff>28575</xdr:colOff>
                    <xdr:row>4</xdr:row>
                    <xdr:rowOff>57150</xdr:rowOff>
                  </from>
                  <to>
                    <xdr:col>64</xdr:col>
                    <xdr:colOff>228600</xdr:colOff>
                    <xdr:row>4</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5" id="{8821CE2F-1F78-4DB1-A5B3-69F0D5FEC0AE}">
            <x14:iconSet iconSet="3Stars" showValue="0" custom="1">
              <x14:cfvo type="percent">
                <xm:f>0</xm:f>
              </x14:cfvo>
              <x14:cfvo type="num">
                <xm:f>1</xm:f>
              </x14:cfvo>
              <x14:cfvo type="num">
                <xm:f>2</xm:f>
              </x14:cfvo>
              <x14:cfIcon iconSet="NoIcons" iconId="0"/>
              <x14:cfIcon iconSet="3Flags" iconId="1"/>
              <x14:cfIcon iconSet="3Signs" iconId="0"/>
            </x14:iconSet>
          </x14:cfRule>
          <xm:sqref>J167:BM167</xm:sqref>
        </x14:conditionalFormatting>
        <x14:conditionalFormatting xmlns:xm="http://schemas.microsoft.com/office/excel/2006/main">
          <x14:cfRule type="iconSet" priority="81" id="{D8208747-DF30-4DF1-83E8-103245756274}">
            <x14:iconSet iconSet="3Stars" showValue="0" custom="1">
              <x14:cfvo type="percent">
                <xm:f>0</xm:f>
              </x14:cfvo>
              <x14:cfvo type="num">
                <xm:f>1</xm:f>
              </x14:cfvo>
              <x14:cfvo type="num">
                <xm:f>2</xm:f>
              </x14:cfvo>
              <x14:cfIcon iconSet="NoIcons" iconId="0"/>
              <x14:cfIcon iconSet="3Flags" iconId="1"/>
              <x14:cfIcon iconSet="3Signs" iconId="0"/>
            </x14:iconSet>
          </x14:cfRule>
          <xm:sqref>J7:BM46 J50:BM166 J48:K48 J49:L49 J47:L47 M47:BM49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0396-9B90-46C2-BEB2-02AFA4E311D0}">
  <sheetPr>
    <pageSetUpPr fitToPage="1"/>
  </sheetPr>
  <dimension ref="A1:BN119"/>
  <sheetViews>
    <sheetView showGridLines="0" showRuler="0" topLeftCell="A3" zoomScale="85" zoomScaleNormal="85" zoomScalePageLayoutView="70" workbookViewId="0">
      <pane xSplit="1" ySplit="43" topLeftCell="B83" activePane="bottomRight" state="frozen"/>
      <selection activeCell="A3" sqref="A3"/>
      <selection pane="topRight" activeCell="B3" sqref="B3"/>
      <selection pane="bottomLeft" activeCell="A46" sqref="A46"/>
      <selection pane="bottomRight" activeCell="F62" sqref="F62"/>
    </sheetView>
  </sheetViews>
  <sheetFormatPr defaultColWidth="8.85546875" defaultRowHeight="30" customHeight="1" outlineLevelRow="1" x14ac:dyDescent="0.25"/>
  <cols>
    <col min="1" max="1" width="9" style="110" customWidth="1"/>
    <col min="2" max="2" width="37.28515625" customWidth="1"/>
    <col min="3" max="3" width="13.28515625" bestFit="1" customWidth="1"/>
    <col min="4" max="4" width="20.5703125" customWidth="1"/>
    <col min="5" max="5" width="15.7109375" customWidth="1"/>
    <col min="6" max="6" width="12" style="112" customWidth="1"/>
    <col min="7" max="7" width="10.42578125" customWidth="1"/>
    <col min="8" max="8" width="11.85546875" customWidth="1"/>
    <col min="9" max="9" width="2.7109375" customWidth="1"/>
    <col min="10" max="65" width="3.5703125" customWidth="1"/>
    <col min="66" max="66" width="2.7109375" customWidth="1"/>
  </cols>
  <sheetData>
    <row r="1" spans="1:66" ht="37.5" customHeight="1" x14ac:dyDescent="0.25">
      <c r="A1" s="1"/>
      <c r="B1" s="121" t="s">
        <v>0</v>
      </c>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2"/>
    </row>
    <row r="2" spans="1:66" ht="30" customHeight="1" x14ac:dyDescent="0.25">
      <c r="A2" s="1"/>
      <c r="B2" s="3"/>
      <c r="C2" s="4"/>
      <c r="D2" s="5"/>
      <c r="E2" s="6"/>
      <c r="F2" s="7"/>
      <c r="G2" s="8" t="s">
        <v>1</v>
      </c>
      <c r="H2" s="8"/>
      <c r="I2" s="6"/>
      <c r="J2" s="122" t="s">
        <v>2</v>
      </c>
      <c r="K2" s="122"/>
      <c r="L2" s="122"/>
      <c r="M2" s="122"/>
      <c r="O2" s="123" t="s">
        <v>3</v>
      </c>
      <c r="P2" s="123"/>
      <c r="Q2" s="123"/>
      <c r="R2" s="123"/>
      <c r="T2" s="124" t="s">
        <v>4</v>
      </c>
      <c r="U2" s="124"/>
      <c r="V2" s="124"/>
      <c r="W2" s="124"/>
      <c r="Y2" s="125" t="s">
        <v>5</v>
      </c>
      <c r="Z2" s="125"/>
      <c r="AA2" s="125"/>
      <c r="AB2" s="125"/>
      <c r="AD2" s="126" t="s">
        <v>6</v>
      </c>
      <c r="AE2" s="126"/>
      <c r="AF2" s="126"/>
      <c r="AG2" s="126"/>
    </row>
    <row r="3" spans="1:66" ht="30" customHeight="1" x14ac:dyDescent="0.35">
      <c r="A3" s="1"/>
      <c r="B3" s="9" t="s">
        <v>7</v>
      </c>
      <c r="C3" s="10">
        <v>45838</v>
      </c>
      <c r="D3" s="11"/>
      <c r="E3" s="6"/>
      <c r="F3" s="7"/>
      <c r="G3" s="6"/>
      <c r="H3" s="6"/>
      <c r="I3" s="6"/>
      <c r="J3" s="12" t="str">
        <f ca="1">TEXT(J4,"mmmm")</f>
        <v>May</v>
      </c>
      <c r="K3" s="12"/>
      <c r="L3" s="12"/>
      <c r="M3" s="12"/>
      <c r="N3" s="12"/>
      <c r="O3" s="12"/>
      <c r="P3" s="12"/>
      <c r="Q3" s="12" t="str">
        <f ca="1">IF(TEXT(Q4,"mmmm")=J3,"",TEXT(Q4,"mmmm"))</f>
        <v>June</v>
      </c>
      <c r="R3" s="12"/>
      <c r="S3" s="12"/>
      <c r="T3" s="12"/>
      <c r="U3" s="12"/>
      <c r="V3" s="12"/>
      <c r="W3" s="12"/>
      <c r="X3" s="12" t="str">
        <f ca="1">IF(OR(TEXT(X4,"mmmm")=Q3,TEXT(X4,"mmmm")=J3),"",TEXT(X4,"mmmm"))</f>
        <v/>
      </c>
      <c r="Y3" s="12"/>
      <c r="Z3" s="12"/>
      <c r="AA3" s="12"/>
      <c r="AB3" s="12"/>
      <c r="AC3" s="12"/>
      <c r="AD3" s="12"/>
      <c r="AE3" s="12" t="str">
        <f ca="1">IF(OR(TEXT(AE4,"mmmm")=X3,TEXT(AE4,"mmmm")=Q3,TEXT(AE4,"mmmm")=J3),"",TEXT(AE4,"mmmm"))</f>
        <v/>
      </c>
      <c r="AF3" s="12"/>
      <c r="AG3" s="12"/>
      <c r="AH3" s="12"/>
      <c r="AI3" s="12"/>
      <c r="AJ3" s="12"/>
      <c r="AK3" s="12"/>
      <c r="AL3" s="12" t="str">
        <f ca="1">IF(OR(TEXT(AL4,"mmmm")=AE3,TEXT(AL4,"mmmm")=X3,TEXT(AL4,"mmmm")=Q3,TEXT(AL4,"mmmm")=J3),"",TEXT(AL4,"mmmm"))</f>
        <v/>
      </c>
      <c r="AM3" s="12"/>
      <c r="AN3" s="12"/>
      <c r="AO3" s="12"/>
      <c r="AP3" s="12"/>
      <c r="AQ3" s="12"/>
      <c r="AR3" s="12"/>
      <c r="AS3" s="12" t="str">
        <f ca="1">IF(OR(TEXT(AS4,"mmmm")=AL3,TEXT(AS4,"mmmm")=AE3,TEXT(AS4,"mmmm")=X3,TEXT(AS4,"mmmm")=Q3),"",TEXT(AS4,"mmmm"))</f>
        <v>July</v>
      </c>
      <c r="AT3" s="12"/>
      <c r="AU3" s="12"/>
      <c r="AV3" s="12"/>
      <c r="AW3" s="12"/>
      <c r="AX3" s="12"/>
      <c r="AY3" s="13"/>
      <c r="AZ3" s="13" t="str">
        <f ca="1">IF(OR(TEXT(AZ4,"mmmm")=AS3,TEXT(AZ4,"mmmm")=AL3,TEXT(AZ4,"mmmm")=AE3,TEXT(AZ4,"mmmm")=X3),"",TEXT(AZ4,"mmmm"))</f>
        <v/>
      </c>
      <c r="BA3" s="13"/>
      <c r="BB3" s="13"/>
      <c r="BC3" s="14"/>
      <c r="BD3" s="15"/>
      <c r="BE3" s="15"/>
      <c r="BF3" s="15"/>
      <c r="BG3" s="15" t="str">
        <f ca="1">IF(OR(TEXT(BG4,"mmmm")=AZ3,TEXT(BG4,"mmmm")=AS3,TEXT(BG4,"mmmm")=AL3,TEXT(BG4,"mmmm")=AE3),"",TEXT(BG4,"mmmm"))</f>
        <v/>
      </c>
      <c r="BH3" s="15"/>
      <c r="BI3" s="15"/>
      <c r="BJ3" s="15"/>
      <c r="BK3" s="15"/>
      <c r="BL3" s="15"/>
      <c r="BM3" s="15"/>
    </row>
    <row r="4" spans="1:66" ht="30" customHeight="1" x14ac:dyDescent="0.25">
      <c r="A4" s="1"/>
      <c r="B4" s="9" t="s">
        <v>8</v>
      </c>
      <c r="C4" s="16">
        <v>333</v>
      </c>
      <c r="D4" s="5"/>
      <c r="E4" s="6"/>
      <c r="F4" s="6"/>
      <c r="G4" s="6"/>
      <c r="H4" s="6"/>
      <c r="I4" s="17"/>
      <c r="J4" s="18">
        <f ca="1">IFERROR(Project_Start+Scrolling_Increment,TODAY())</f>
        <v>46171</v>
      </c>
      <c r="K4" s="19">
        <f ca="1">J4+1</f>
        <v>46172</v>
      </c>
      <c r="L4" s="19">
        <f t="shared" ref="L4:AY4" ca="1" si="0">K4+1</f>
        <v>46173</v>
      </c>
      <c r="M4" s="19">
        <f t="shared" ca="1" si="0"/>
        <v>46174</v>
      </c>
      <c r="N4" s="19">
        <f t="shared" ca="1" si="0"/>
        <v>46175</v>
      </c>
      <c r="O4" s="19">
        <f t="shared" ca="1" si="0"/>
        <v>46176</v>
      </c>
      <c r="P4" s="20">
        <f t="shared" ca="1" si="0"/>
        <v>46177</v>
      </c>
      <c r="Q4" s="19">
        <f ca="1">P4+1</f>
        <v>46178</v>
      </c>
      <c r="R4" s="19">
        <f ca="1">Q4+1</f>
        <v>46179</v>
      </c>
      <c r="S4" s="19">
        <f t="shared" ca="1" si="0"/>
        <v>46180</v>
      </c>
      <c r="T4" s="19">
        <f t="shared" ca="1" si="0"/>
        <v>46181</v>
      </c>
      <c r="U4" s="19">
        <f t="shared" ca="1" si="0"/>
        <v>46182</v>
      </c>
      <c r="V4" s="19">
        <f t="shared" ca="1" si="0"/>
        <v>46183</v>
      </c>
      <c r="W4" s="20">
        <f t="shared" ca="1" si="0"/>
        <v>46184</v>
      </c>
      <c r="X4" s="19">
        <f ca="1">W4+1</f>
        <v>46185</v>
      </c>
      <c r="Y4" s="19">
        <f ca="1">X4+1</f>
        <v>46186</v>
      </c>
      <c r="Z4" s="19">
        <f t="shared" ca="1" si="0"/>
        <v>46187</v>
      </c>
      <c r="AA4" s="19">
        <f t="shared" ca="1" si="0"/>
        <v>46188</v>
      </c>
      <c r="AB4" s="19">
        <f t="shared" ca="1" si="0"/>
        <v>46189</v>
      </c>
      <c r="AC4" s="19">
        <f t="shared" ca="1" si="0"/>
        <v>46190</v>
      </c>
      <c r="AD4" s="20">
        <f t="shared" ca="1" si="0"/>
        <v>46191</v>
      </c>
      <c r="AE4" s="19">
        <f ca="1">AD4+1</f>
        <v>46192</v>
      </c>
      <c r="AF4" s="19">
        <f ca="1">AE4+1</f>
        <v>46193</v>
      </c>
      <c r="AG4" s="19">
        <f t="shared" ca="1" si="0"/>
        <v>46194</v>
      </c>
      <c r="AH4" s="19">
        <f t="shared" ca="1" si="0"/>
        <v>46195</v>
      </c>
      <c r="AI4" s="19">
        <f t="shared" ca="1" si="0"/>
        <v>46196</v>
      </c>
      <c r="AJ4" s="19">
        <f t="shared" ca="1" si="0"/>
        <v>46197</v>
      </c>
      <c r="AK4" s="20">
        <f t="shared" ca="1" si="0"/>
        <v>46198</v>
      </c>
      <c r="AL4" s="19">
        <f ca="1">AK4+1</f>
        <v>46199</v>
      </c>
      <c r="AM4" s="19">
        <f ca="1">AL4+1</f>
        <v>46200</v>
      </c>
      <c r="AN4" s="19">
        <f t="shared" ca="1" si="0"/>
        <v>46201</v>
      </c>
      <c r="AO4" s="19">
        <f t="shared" ca="1" si="0"/>
        <v>46202</v>
      </c>
      <c r="AP4" s="19">
        <f t="shared" ca="1" si="0"/>
        <v>46203</v>
      </c>
      <c r="AQ4" s="19">
        <f t="shared" ca="1" si="0"/>
        <v>46204</v>
      </c>
      <c r="AR4" s="20">
        <f t="shared" ca="1" si="0"/>
        <v>46205</v>
      </c>
      <c r="AS4" s="19">
        <f ca="1">AR4+1</f>
        <v>46206</v>
      </c>
      <c r="AT4" s="19">
        <f ca="1">AS4+1</f>
        <v>46207</v>
      </c>
      <c r="AU4" s="19">
        <f t="shared" ca="1" si="0"/>
        <v>46208</v>
      </c>
      <c r="AV4" s="19">
        <f t="shared" ca="1" si="0"/>
        <v>46209</v>
      </c>
      <c r="AW4" s="19">
        <f t="shared" ca="1" si="0"/>
        <v>46210</v>
      </c>
      <c r="AX4" s="19">
        <f t="shared" ca="1" si="0"/>
        <v>46211</v>
      </c>
      <c r="AY4" s="20">
        <f t="shared" ca="1" si="0"/>
        <v>46212</v>
      </c>
      <c r="AZ4" s="19">
        <f ca="1">AY4+1</f>
        <v>46213</v>
      </c>
      <c r="BA4" s="19">
        <f ca="1">AZ4+1</f>
        <v>46214</v>
      </c>
      <c r="BB4" s="19">
        <f t="shared" ref="BB4:BF4" ca="1" si="1">BA4+1</f>
        <v>46215</v>
      </c>
      <c r="BC4" s="19">
        <f t="shared" ca="1" si="1"/>
        <v>46216</v>
      </c>
      <c r="BD4" s="19">
        <f t="shared" ca="1" si="1"/>
        <v>46217</v>
      </c>
      <c r="BE4" s="19">
        <f t="shared" ca="1" si="1"/>
        <v>46218</v>
      </c>
      <c r="BF4" s="20">
        <f t="shared" ca="1" si="1"/>
        <v>46219</v>
      </c>
      <c r="BG4" s="19">
        <f ca="1">BF4+1</f>
        <v>46220</v>
      </c>
      <c r="BH4" s="19">
        <f ca="1">BG4+1</f>
        <v>46221</v>
      </c>
      <c r="BI4" s="19">
        <f t="shared" ref="BI4:BM4" ca="1" si="2">BH4+1</f>
        <v>46222</v>
      </c>
      <c r="BJ4" s="19">
        <f t="shared" ca="1" si="2"/>
        <v>46223</v>
      </c>
      <c r="BK4" s="19">
        <f t="shared" ca="1" si="2"/>
        <v>46224</v>
      </c>
      <c r="BL4" s="19">
        <f t="shared" ca="1" si="2"/>
        <v>46225</v>
      </c>
      <c r="BM4" s="20">
        <f t="shared" ca="1" si="2"/>
        <v>46226</v>
      </c>
    </row>
    <row r="5" spans="1:66" ht="19.899999999999999" customHeight="1" x14ac:dyDescent="0.25">
      <c r="A5" s="1"/>
      <c r="B5" s="5"/>
      <c r="C5" s="5"/>
      <c r="D5" s="5"/>
      <c r="E5" s="6"/>
      <c r="F5" s="6"/>
      <c r="G5" s="6"/>
      <c r="H5" s="6"/>
      <c r="I5" s="17"/>
      <c r="J5" s="21"/>
      <c r="K5" s="22"/>
      <c r="L5" s="22"/>
      <c r="M5" s="22"/>
      <c r="N5" s="22"/>
      <c r="O5" s="22"/>
      <c r="P5" s="22"/>
      <c r="Q5" s="23"/>
      <c r="R5" s="22"/>
      <c r="S5" s="22"/>
      <c r="T5" s="22"/>
      <c r="U5" s="22"/>
      <c r="V5" s="22"/>
      <c r="W5" s="24"/>
      <c r="X5" s="22"/>
      <c r="Y5" s="22"/>
      <c r="Z5" s="22"/>
      <c r="AA5" s="22"/>
      <c r="AB5" s="22"/>
      <c r="AC5" s="22"/>
      <c r="AD5" s="24"/>
      <c r="AE5" s="22"/>
      <c r="AF5" s="22"/>
      <c r="AG5" s="22"/>
      <c r="AH5" s="22"/>
      <c r="AI5" s="22"/>
      <c r="AJ5" s="22"/>
      <c r="AK5" s="24"/>
      <c r="AL5" s="22"/>
      <c r="AM5" s="22"/>
      <c r="AN5" s="22"/>
      <c r="AO5" s="22"/>
      <c r="AP5" s="22"/>
      <c r="AQ5" s="22"/>
      <c r="AR5" s="24"/>
      <c r="AS5" s="22"/>
      <c r="AT5" s="22"/>
      <c r="AU5" s="22"/>
      <c r="AV5" s="22"/>
      <c r="AW5" s="22"/>
      <c r="AX5" s="22"/>
      <c r="AY5" s="24"/>
      <c r="AZ5" s="22"/>
      <c r="BA5" s="22"/>
      <c r="BB5" s="22"/>
      <c r="BC5" s="22"/>
      <c r="BD5" s="22"/>
      <c r="BE5" s="22"/>
      <c r="BF5" s="24"/>
      <c r="BG5" s="22"/>
      <c r="BH5" s="22"/>
      <c r="BI5" s="22"/>
      <c r="BJ5" s="22"/>
      <c r="BK5" s="22"/>
      <c r="BL5" s="22"/>
      <c r="BM5" s="25"/>
    </row>
    <row r="6" spans="1:66" ht="40.15" customHeight="1" x14ac:dyDescent="0.25">
      <c r="A6" s="26" t="s">
        <v>9</v>
      </c>
      <c r="B6" s="26" t="s">
        <v>10</v>
      </c>
      <c r="C6" s="27" t="s">
        <v>11</v>
      </c>
      <c r="D6" s="27" t="s">
        <v>12</v>
      </c>
      <c r="E6" s="27" t="s">
        <v>13</v>
      </c>
      <c r="F6" s="27" t="s">
        <v>14</v>
      </c>
      <c r="G6" s="27" t="s">
        <v>15</v>
      </c>
      <c r="H6" s="27" t="s">
        <v>16</v>
      </c>
      <c r="I6" s="28"/>
      <c r="J6" s="29" t="str">
        <f t="shared" ref="J6:BM6" ca="1" si="3">LEFT(TEXT(J4,"ddd"),1)</f>
        <v>F</v>
      </c>
      <c r="K6" s="29" t="str">
        <f t="shared" ca="1" si="3"/>
        <v>S</v>
      </c>
      <c r="L6" s="29" t="str">
        <f t="shared" ca="1" si="3"/>
        <v>S</v>
      </c>
      <c r="M6" s="29" t="str">
        <f t="shared" ca="1" si="3"/>
        <v>M</v>
      </c>
      <c r="N6" s="29" t="str">
        <f t="shared" ca="1" si="3"/>
        <v>T</v>
      </c>
      <c r="O6" s="29" t="str">
        <f t="shared" ca="1" si="3"/>
        <v>W</v>
      </c>
      <c r="P6" s="29" t="str">
        <f t="shared" ca="1" si="3"/>
        <v>T</v>
      </c>
      <c r="Q6" s="29" t="str">
        <f t="shared" ca="1" si="3"/>
        <v>F</v>
      </c>
      <c r="R6" s="29" t="str">
        <f t="shared" ca="1" si="3"/>
        <v>S</v>
      </c>
      <c r="S6" s="29" t="str">
        <f t="shared" ca="1" si="3"/>
        <v>S</v>
      </c>
      <c r="T6" s="29" t="str">
        <f t="shared" ca="1" si="3"/>
        <v>M</v>
      </c>
      <c r="U6" s="29" t="str">
        <f t="shared" ca="1" si="3"/>
        <v>T</v>
      </c>
      <c r="V6" s="29" t="str">
        <f t="shared" ca="1" si="3"/>
        <v>W</v>
      </c>
      <c r="W6" s="29" t="str">
        <f t="shared" ca="1" si="3"/>
        <v>T</v>
      </c>
      <c r="X6" s="29" t="str">
        <f t="shared" ca="1" si="3"/>
        <v>F</v>
      </c>
      <c r="Y6" s="29" t="str">
        <f t="shared" ca="1" si="3"/>
        <v>S</v>
      </c>
      <c r="Z6" s="29" t="str">
        <f t="shared" ca="1" si="3"/>
        <v>S</v>
      </c>
      <c r="AA6" s="29" t="str">
        <f t="shared" ca="1" si="3"/>
        <v>M</v>
      </c>
      <c r="AB6" s="29" t="str">
        <f t="shared" ca="1" si="3"/>
        <v>T</v>
      </c>
      <c r="AC6" s="29" t="str">
        <f t="shared" ca="1" si="3"/>
        <v>W</v>
      </c>
      <c r="AD6" s="29" t="str">
        <f t="shared" ca="1" si="3"/>
        <v>T</v>
      </c>
      <c r="AE6" s="29" t="str">
        <f t="shared" ca="1" si="3"/>
        <v>F</v>
      </c>
      <c r="AF6" s="29" t="str">
        <f t="shared" ca="1" si="3"/>
        <v>S</v>
      </c>
      <c r="AG6" s="29" t="str">
        <f t="shared" ca="1" si="3"/>
        <v>S</v>
      </c>
      <c r="AH6" s="29" t="str">
        <f t="shared" ca="1" si="3"/>
        <v>M</v>
      </c>
      <c r="AI6" s="29" t="str">
        <f t="shared" ca="1" si="3"/>
        <v>T</v>
      </c>
      <c r="AJ6" s="29" t="str">
        <f t="shared" ca="1" si="3"/>
        <v>W</v>
      </c>
      <c r="AK6" s="29" t="str">
        <f t="shared" ca="1" si="3"/>
        <v>T</v>
      </c>
      <c r="AL6" s="29" t="str">
        <f t="shared" ca="1" si="3"/>
        <v>F</v>
      </c>
      <c r="AM6" s="29" t="str">
        <f t="shared" ca="1" si="3"/>
        <v>S</v>
      </c>
      <c r="AN6" s="29" t="str">
        <f t="shared" ca="1" si="3"/>
        <v>S</v>
      </c>
      <c r="AO6" s="29" t="str">
        <f t="shared" ca="1" si="3"/>
        <v>M</v>
      </c>
      <c r="AP6" s="29" t="str">
        <f t="shared" ca="1" si="3"/>
        <v>T</v>
      </c>
      <c r="AQ6" s="29" t="str">
        <f t="shared" ca="1" si="3"/>
        <v>W</v>
      </c>
      <c r="AR6" s="29" t="str">
        <f t="shared" ca="1" si="3"/>
        <v>T</v>
      </c>
      <c r="AS6" s="29" t="str">
        <f t="shared" ca="1" si="3"/>
        <v>F</v>
      </c>
      <c r="AT6" s="29" t="str">
        <f t="shared" ca="1" si="3"/>
        <v>S</v>
      </c>
      <c r="AU6" s="29" t="str">
        <f t="shared" ca="1" si="3"/>
        <v>S</v>
      </c>
      <c r="AV6" s="29" t="str">
        <f t="shared" ca="1" si="3"/>
        <v>M</v>
      </c>
      <c r="AW6" s="29" t="str">
        <f t="shared" ca="1" si="3"/>
        <v>T</v>
      </c>
      <c r="AX6" s="29" t="str">
        <f t="shared" ca="1" si="3"/>
        <v>W</v>
      </c>
      <c r="AY6" s="29" t="str">
        <f t="shared" ca="1" si="3"/>
        <v>T</v>
      </c>
      <c r="AZ6" s="29" t="str">
        <f t="shared" ca="1" si="3"/>
        <v>F</v>
      </c>
      <c r="BA6" s="29" t="str">
        <f t="shared" ca="1" si="3"/>
        <v>S</v>
      </c>
      <c r="BB6" s="29" t="str">
        <f t="shared" ca="1" si="3"/>
        <v>S</v>
      </c>
      <c r="BC6" s="29" t="str">
        <f t="shared" ca="1" si="3"/>
        <v>M</v>
      </c>
      <c r="BD6" s="29" t="str">
        <f t="shared" ca="1" si="3"/>
        <v>T</v>
      </c>
      <c r="BE6" s="29" t="str">
        <f t="shared" ca="1" si="3"/>
        <v>W</v>
      </c>
      <c r="BF6" s="29" t="str">
        <f t="shared" ca="1" si="3"/>
        <v>T</v>
      </c>
      <c r="BG6" s="29" t="str">
        <f t="shared" ca="1" si="3"/>
        <v>F</v>
      </c>
      <c r="BH6" s="29" t="str">
        <f t="shared" ca="1" si="3"/>
        <v>S</v>
      </c>
      <c r="BI6" s="29" t="str">
        <f t="shared" ca="1" si="3"/>
        <v>S</v>
      </c>
      <c r="BJ6" s="29" t="str">
        <f t="shared" ca="1" si="3"/>
        <v>M</v>
      </c>
      <c r="BK6" s="29" t="str">
        <f t="shared" ca="1" si="3"/>
        <v>T</v>
      </c>
      <c r="BL6" s="29" t="str">
        <f t="shared" ca="1" si="3"/>
        <v>W</v>
      </c>
      <c r="BM6" s="29" t="str">
        <f t="shared" ca="1" si="3"/>
        <v>T</v>
      </c>
    </row>
    <row r="7" spans="1:66" ht="15" hidden="1" outlineLevel="1" x14ac:dyDescent="0.25">
      <c r="A7" s="30" t="s">
        <v>17</v>
      </c>
      <c r="B7" s="31" t="s">
        <v>18</v>
      </c>
      <c r="C7" s="32"/>
      <c r="D7" s="33" t="s">
        <v>19</v>
      </c>
      <c r="E7" s="34">
        <v>1</v>
      </c>
      <c r="F7" s="35" t="s">
        <v>20</v>
      </c>
      <c r="G7" s="35" t="s">
        <v>20</v>
      </c>
      <c r="H7" s="35" t="s">
        <v>20</v>
      </c>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row>
    <row r="8" spans="1:66" ht="28.5" hidden="1" outlineLevel="1" x14ac:dyDescent="0.25">
      <c r="A8" s="37">
        <v>1</v>
      </c>
      <c r="B8" s="38" t="s">
        <v>21</v>
      </c>
      <c r="C8" s="39"/>
      <c r="D8" s="40"/>
      <c r="E8" s="41">
        <v>1</v>
      </c>
      <c r="F8" s="42" t="s">
        <v>20</v>
      </c>
      <c r="G8" s="42" t="s">
        <v>20</v>
      </c>
      <c r="H8" s="42" t="s">
        <v>20</v>
      </c>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row>
    <row r="9" spans="1:66" ht="15" hidden="1" outlineLevel="1" x14ac:dyDescent="0.25">
      <c r="A9" s="44" t="s">
        <v>22</v>
      </c>
      <c r="B9" s="45" t="s">
        <v>23</v>
      </c>
      <c r="C9" s="46"/>
      <c r="D9" s="47"/>
      <c r="E9" s="48">
        <v>1</v>
      </c>
      <c r="F9" s="49" t="s">
        <v>20</v>
      </c>
      <c r="G9" s="49" t="s">
        <v>20</v>
      </c>
      <c r="H9" s="49" t="s">
        <v>20</v>
      </c>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row>
    <row r="10" spans="1:66" ht="15" hidden="1" outlineLevel="1" x14ac:dyDescent="0.25">
      <c r="A10" s="50" t="s">
        <v>24</v>
      </c>
      <c r="B10" s="51" t="s">
        <v>25</v>
      </c>
      <c r="C10" s="46"/>
      <c r="D10" s="51"/>
      <c r="E10" s="48">
        <v>1</v>
      </c>
      <c r="F10" s="49" t="s">
        <v>20</v>
      </c>
      <c r="G10" s="49" t="s">
        <v>20</v>
      </c>
      <c r="H10" s="49" t="s">
        <v>20</v>
      </c>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row>
    <row r="11" spans="1:66" hidden="1" outlineLevel="1" x14ac:dyDescent="0.25">
      <c r="A11" s="44" t="s">
        <v>26</v>
      </c>
      <c r="B11" s="45" t="s">
        <v>27</v>
      </c>
      <c r="C11" s="46"/>
      <c r="D11" s="47"/>
      <c r="E11" s="48">
        <v>1</v>
      </c>
      <c r="F11" s="49" t="s">
        <v>20</v>
      </c>
      <c r="G11" s="49" t="s">
        <v>20</v>
      </c>
      <c r="H11" s="49" t="s">
        <v>20</v>
      </c>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row>
    <row r="12" spans="1:66" ht="60" hidden="1" outlineLevel="1" x14ac:dyDescent="0.25">
      <c r="A12" s="50" t="s">
        <v>28</v>
      </c>
      <c r="B12" s="51" t="s">
        <v>29</v>
      </c>
      <c r="C12" s="46"/>
      <c r="D12" s="51"/>
      <c r="E12" s="48">
        <v>1</v>
      </c>
      <c r="F12" s="49" t="s">
        <v>20</v>
      </c>
      <c r="G12" s="49" t="s">
        <v>20</v>
      </c>
      <c r="H12" s="49" t="s">
        <v>20</v>
      </c>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row>
    <row r="13" spans="1:66" hidden="1" outlineLevel="1" x14ac:dyDescent="0.25">
      <c r="A13" s="50" t="s">
        <v>30</v>
      </c>
      <c r="B13" s="47" t="s">
        <v>31</v>
      </c>
      <c r="C13" s="46"/>
      <c r="D13" s="47"/>
      <c r="E13" s="48">
        <v>1</v>
      </c>
      <c r="F13" s="49" t="s">
        <v>20</v>
      </c>
      <c r="G13" s="49" t="s">
        <v>20</v>
      </c>
      <c r="H13" s="49" t="s">
        <v>20</v>
      </c>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row>
    <row r="14" spans="1:66" ht="15" hidden="1" outlineLevel="1" x14ac:dyDescent="0.25">
      <c r="A14" s="50" t="s">
        <v>32</v>
      </c>
      <c r="B14" s="51" t="s">
        <v>33</v>
      </c>
      <c r="C14" s="46"/>
      <c r="D14" s="51"/>
      <c r="E14" s="48">
        <v>1</v>
      </c>
      <c r="F14" s="49" t="s">
        <v>20</v>
      </c>
      <c r="G14" s="49" t="s">
        <v>20</v>
      </c>
      <c r="H14" s="49" t="s">
        <v>20</v>
      </c>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row>
    <row r="15" spans="1:66" hidden="1" outlineLevel="1" x14ac:dyDescent="0.25">
      <c r="A15" s="44" t="s">
        <v>34</v>
      </c>
      <c r="B15" s="45" t="s">
        <v>35</v>
      </c>
      <c r="C15" s="46"/>
      <c r="D15" s="47"/>
      <c r="E15" s="48">
        <v>1</v>
      </c>
      <c r="F15" s="49" t="s">
        <v>20</v>
      </c>
      <c r="G15" s="49" t="s">
        <v>20</v>
      </c>
      <c r="H15" s="49" t="s">
        <v>20</v>
      </c>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row>
    <row r="16" spans="1:66" ht="15" hidden="1" outlineLevel="1" x14ac:dyDescent="0.25">
      <c r="A16" s="37">
        <v>2</v>
      </c>
      <c r="B16" s="38" t="s">
        <v>36</v>
      </c>
      <c r="C16" s="39"/>
      <c r="D16" s="40"/>
      <c r="E16" s="41">
        <v>1</v>
      </c>
      <c r="F16" s="42" t="s">
        <v>20</v>
      </c>
      <c r="G16" s="42" t="s">
        <v>20</v>
      </c>
      <c r="H16" s="42" t="s">
        <v>20</v>
      </c>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row>
    <row r="17" spans="1:65" ht="90" hidden="1" outlineLevel="1" x14ac:dyDescent="0.25">
      <c r="A17" s="44" t="s">
        <v>37</v>
      </c>
      <c r="B17" s="45" t="s">
        <v>38</v>
      </c>
      <c r="C17" s="46"/>
      <c r="D17" s="47" t="s">
        <v>39</v>
      </c>
      <c r="E17" s="48">
        <v>1</v>
      </c>
      <c r="F17" s="49" t="s">
        <v>20</v>
      </c>
      <c r="G17" s="49" t="s">
        <v>20</v>
      </c>
      <c r="H17" s="49" t="s">
        <v>20</v>
      </c>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row>
    <row r="18" spans="1:65" ht="15" hidden="1" outlineLevel="1" x14ac:dyDescent="0.25">
      <c r="A18" s="50" t="s">
        <v>40</v>
      </c>
      <c r="B18" s="51" t="s">
        <v>41</v>
      </c>
      <c r="C18" s="46"/>
      <c r="D18" s="51"/>
      <c r="E18" s="48">
        <v>1</v>
      </c>
      <c r="F18" s="49" t="s">
        <v>20</v>
      </c>
      <c r="G18" s="49" t="s">
        <v>20</v>
      </c>
      <c r="H18" s="49" t="s">
        <v>20</v>
      </c>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row>
    <row r="19" spans="1:65" ht="15" hidden="1" outlineLevel="1" x14ac:dyDescent="0.25">
      <c r="A19" s="50" t="s">
        <v>42</v>
      </c>
      <c r="B19" s="47" t="s">
        <v>43</v>
      </c>
      <c r="C19" s="46"/>
      <c r="D19" s="47"/>
      <c r="E19" s="48">
        <v>1</v>
      </c>
      <c r="F19" s="49" t="s">
        <v>20</v>
      </c>
      <c r="G19" s="49" t="s">
        <v>20</v>
      </c>
      <c r="H19" s="49" t="s">
        <v>20</v>
      </c>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row>
    <row r="20" spans="1:65" ht="15" hidden="1" outlineLevel="1" x14ac:dyDescent="0.25">
      <c r="A20" s="50" t="s">
        <v>44</v>
      </c>
      <c r="B20" s="51" t="s">
        <v>45</v>
      </c>
      <c r="C20" s="46"/>
      <c r="D20" s="51"/>
      <c r="E20" s="48">
        <v>1</v>
      </c>
      <c r="F20" s="49" t="s">
        <v>20</v>
      </c>
      <c r="G20" s="49" t="s">
        <v>20</v>
      </c>
      <c r="H20" s="49" t="s">
        <v>20</v>
      </c>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row>
    <row r="21" spans="1:65" ht="15" hidden="1" outlineLevel="1" x14ac:dyDescent="0.25">
      <c r="A21" s="50" t="s">
        <v>46</v>
      </c>
      <c r="B21" s="47" t="s">
        <v>47</v>
      </c>
      <c r="C21" s="46"/>
      <c r="D21" s="47"/>
      <c r="E21" s="48">
        <v>1</v>
      </c>
      <c r="F21" s="49" t="s">
        <v>20</v>
      </c>
      <c r="G21" s="49" t="s">
        <v>20</v>
      </c>
      <c r="H21" s="49" t="s">
        <v>20</v>
      </c>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row>
    <row r="22" spans="1:65" ht="71.25" hidden="1" outlineLevel="1" x14ac:dyDescent="0.25">
      <c r="A22" s="52" t="s">
        <v>48</v>
      </c>
      <c r="B22" s="53" t="s">
        <v>49</v>
      </c>
      <c r="C22" s="46"/>
      <c r="D22" s="51"/>
      <c r="E22" s="48">
        <v>1</v>
      </c>
      <c r="F22" s="49" t="s">
        <v>20</v>
      </c>
      <c r="G22" s="49" t="s">
        <v>20</v>
      </c>
      <c r="H22" s="49" t="s">
        <v>20</v>
      </c>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row>
    <row r="23" spans="1:65" ht="15" hidden="1" outlineLevel="1" x14ac:dyDescent="0.25">
      <c r="A23" s="52" t="s">
        <v>50</v>
      </c>
      <c r="B23" s="54" t="s">
        <v>51</v>
      </c>
      <c r="C23" s="46"/>
      <c r="D23" s="47"/>
      <c r="E23" s="48">
        <v>0</v>
      </c>
      <c r="F23" s="49" t="s">
        <v>20</v>
      </c>
      <c r="G23" s="49" t="s">
        <v>20</v>
      </c>
      <c r="H23" s="49" t="s">
        <v>20</v>
      </c>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row>
    <row r="24" spans="1:65" ht="15" hidden="1" outlineLevel="1" x14ac:dyDescent="0.25">
      <c r="A24" s="50" t="s">
        <v>52</v>
      </c>
      <c r="B24" s="51" t="s">
        <v>53</v>
      </c>
      <c r="C24" s="46"/>
      <c r="D24" s="51"/>
      <c r="E24" s="48"/>
      <c r="F24" s="55"/>
      <c r="G24" s="56"/>
      <c r="H24" s="57"/>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row>
    <row r="25" spans="1:65" ht="15" hidden="1" outlineLevel="1" x14ac:dyDescent="0.25">
      <c r="A25" s="50" t="s">
        <v>54</v>
      </c>
      <c r="B25" s="47" t="s">
        <v>55</v>
      </c>
      <c r="C25" s="46"/>
      <c r="D25" s="47"/>
      <c r="E25" s="48"/>
      <c r="F25" s="55"/>
      <c r="G25" s="56"/>
      <c r="H25" s="57"/>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row>
    <row r="26" spans="1:65" hidden="1" outlineLevel="1" x14ac:dyDescent="0.25">
      <c r="A26" s="50" t="s">
        <v>56</v>
      </c>
      <c r="B26" s="51" t="s">
        <v>57</v>
      </c>
      <c r="C26" s="46"/>
      <c r="D26" s="51"/>
      <c r="E26" s="48"/>
      <c r="F26" s="55"/>
      <c r="G26" s="56"/>
      <c r="H26" s="57"/>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row>
    <row r="27" spans="1:65" ht="45" hidden="1" outlineLevel="1" x14ac:dyDescent="0.25">
      <c r="A27" s="50" t="s">
        <v>58</v>
      </c>
      <c r="B27" s="47" t="s">
        <v>59</v>
      </c>
      <c r="C27" s="46"/>
      <c r="D27" s="47"/>
      <c r="E27" s="48"/>
      <c r="F27" s="55"/>
      <c r="G27" s="56"/>
      <c r="H27" s="57"/>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row>
    <row r="28" spans="1:65" hidden="1" outlineLevel="1" x14ac:dyDescent="0.25">
      <c r="A28" s="50" t="s">
        <v>60</v>
      </c>
      <c r="B28" s="51" t="s">
        <v>61</v>
      </c>
      <c r="C28" s="46"/>
      <c r="D28" s="51"/>
      <c r="E28" s="48"/>
      <c r="F28" s="55"/>
      <c r="G28" s="56"/>
      <c r="H28" s="57"/>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row>
    <row r="29" spans="1:65" ht="45" hidden="1" outlineLevel="1" x14ac:dyDescent="0.25">
      <c r="A29" s="50" t="s">
        <v>62</v>
      </c>
      <c r="B29" s="47" t="s">
        <v>63</v>
      </c>
      <c r="C29" s="46"/>
      <c r="D29" s="47"/>
      <c r="E29" s="48"/>
      <c r="F29" s="55"/>
      <c r="G29" s="56"/>
      <c r="H29" s="57"/>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row>
    <row r="30" spans="1:65" ht="75" hidden="1" outlineLevel="1" x14ac:dyDescent="0.25">
      <c r="A30" s="50" t="s">
        <v>64</v>
      </c>
      <c r="B30" s="51" t="s">
        <v>65</v>
      </c>
      <c r="C30" s="46"/>
      <c r="D30" s="51"/>
      <c r="E30" s="48"/>
      <c r="F30" s="55"/>
      <c r="G30" s="56"/>
      <c r="H30" s="57"/>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row>
    <row r="31" spans="1:65" hidden="1" outlineLevel="1" x14ac:dyDescent="0.25">
      <c r="A31" s="50" t="s">
        <v>66</v>
      </c>
      <c r="B31" s="47" t="s">
        <v>67</v>
      </c>
      <c r="C31" s="46"/>
      <c r="D31" s="47"/>
      <c r="E31" s="48"/>
      <c r="F31" s="55"/>
      <c r="G31" s="56"/>
      <c r="H31" s="57"/>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row>
    <row r="32" spans="1:65" ht="42.75" hidden="1" outlineLevel="1" x14ac:dyDescent="0.25">
      <c r="A32" s="52" t="s">
        <v>68</v>
      </c>
      <c r="B32" s="53" t="s">
        <v>69</v>
      </c>
      <c r="C32" s="46"/>
      <c r="D32" s="51"/>
      <c r="E32" s="48"/>
      <c r="F32" s="55"/>
      <c r="G32" s="56"/>
      <c r="H32" s="57">
        <f>Milestones4352434[[#This Row],[BẮT ĐẦU]]+Milestones4352434[[#This Row],[NGÀY]]</f>
        <v>0</v>
      </c>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row>
    <row r="33" spans="1:65" ht="120" hidden="1" outlineLevel="1" x14ac:dyDescent="0.25">
      <c r="A33" s="50" t="s">
        <v>70</v>
      </c>
      <c r="B33" s="47" t="s">
        <v>71</v>
      </c>
      <c r="C33" s="46"/>
      <c r="D33" s="47" t="s">
        <v>39</v>
      </c>
      <c r="E33" s="48"/>
      <c r="F33" s="55"/>
      <c r="G33" s="56"/>
      <c r="H33" s="57">
        <f>Milestones4352434[[#This Row],[BẮT ĐẦU]]+Milestones4352434[[#This Row],[NGÀY]]</f>
        <v>0</v>
      </c>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c r="BM33" s="43"/>
    </row>
    <row r="34" spans="1:65" ht="120" hidden="1" outlineLevel="1" x14ac:dyDescent="0.25">
      <c r="A34" s="50" t="s">
        <v>72</v>
      </c>
      <c r="B34" s="51" t="s">
        <v>73</v>
      </c>
      <c r="C34" s="46"/>
      <c r="D34" s="51"/>
      <c r="E34" s="48"/>
      <c r="F34" s="55"/>
      <c r="G34" s="56"/>
      <c r="H34" s="57">
        <f>Milestones4352434[[#This Row],[BẮT ĐẦU]]+Milestones4352434[[#This Row],[NGÀY]]</f>
        <v>0</v>
      </c>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row>
    <row r="35" spans="1:65" ht="180" hidden="1" outlineLevel="1" x14ac:dyDescent="0.25">
      <c r="A35" s="50" t="s">
        <v>74</v>
      </c>
      <c r="B35" s="47" t="s">
        <v>75</v>
      </c>
      <c r="C35" s="46"/>
      <c r="D35" s="47" t="s">
        <v>76</v>
      </c>
      <c r="E35" s="48"/>
      <c r="F35" s="55"/>
      <c r="G35" s="56"/>
      <c r="H35" s="57">
        <f>Milestones4352434[[#This Row],[BẮT ĐẦU]]+Milestones4352434[[#This Row],[NGÀY]]</f>
        <v>0</v>
      </c>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row>
    <row r="36" spans="1:65" ht="60" hidden="1" outlineLevel="1" x14ac:dyDescent="0.25">
      <c r="A36" s="50" t="s">
        <v>77</v>
      </c>
      <c r="B36" s="51" t="s">
        <v>78</v>
      </c>
      <c r="C36" s="46"/>
      <c r="D36" s="51" t="s">
        <v>79</v>
      </c>
      <c r="E36" s="48"/>
      <c r="F36" s="55"/>
      <c r="G36" s="56"/>
      <c r="H36" s="57">
        <f>Milestones4352434[[#This Row],[BẮT ĐẦU]]+Milestones4352434[[#This Row],[NGÀY]]</f>
        <v>0</v>
      </c>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row>
    <row r="37" spans="1:65" ht="60" hidden="1" outlineLevel="1" x14ac:dyDescent="0.25">
      <c r="A37" s="50" t="s">
        <v>80</v>
      </c>
      <c r="B37" s="47" t="s">
        <v>81</v>
      </c>
      <c r="C37" s="46"/>
      <c r="D37" s="47"/>
      <c r="E37" s="48"/>
      <c r="F37" s="55"/>
      <c r="G37" s="56"/>
      <c r="H37" s="57">
        <f>Milestones4352434[[#This Row],[BẮT ĐẦU]]+Milestones4352434[[#This Row],[NGÀY]]</f>
        <v>0</v>
      </c>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row>
    <row r="38" spans="1:65" hidden="1" outlineLevel="1" x14ac:dyDescent="0.25">
      <c r="A38" s="58">
        <v>3</v>
      </c>
      <c r="B38" s="59" t="s">
        <v>82</v>
      </c>
      <c r="C38" s="39"/>
      <c r="D38" s="40"/>
      <c r="E38" s="41">
        <v>1</v>
      </c>
      <c r="F38" s="42" t="s">
        <v>20</v>
      </c>
      <c r="G38" s="42" t="s">
        <v>20</v>
      </c>
      <c r="H38" s="42" t="s">
        <v>20</v>
      </c>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row>
    <row r="39" spans="1:65" ht="28.5" hidden="1" outlineLevel="1" x14ac:dyDescent="0.25">
      <c r="A39" s="52" t="s">
        <v>83</v>
      </c>
      <c r="B39" s="54" t="s">
        <v>84</v>
      </c>
      <c r="C39" s="46"/>
      <c r="D39" s="47" t="s">
        <v>19</v>
      </c>
      <c r="E39" s="48">
        <v>1</v>
      </c>
      <c r="F39" s="49" t="s">
        <v>20</v>
      </c>
      <c r="G39" s="49" t="s">
        <v>20</v>
      </c>
      <c r="H39" s="49" t="s">
        <v>20</v>
      </c>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row>
    <row r="40" spans="1:65" ht="15" hidden="1" outlineLevel="1" x14ac:dyDescent="0.25">
      <c r="A40" s="60" t="s">
        <v>83</v>
      </c>
      <c r="B40" s="61" t="s">
        <v>85</v>
      </c>
      <c r="C40" s="46"/>
      <c r="D40" s="51"/>
      <c r="E40" s="48"/>
      <c r="F40" s="49"/>
      <c r="G40" s="49"/>
      <c r="H40" s="49"/>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row>
    <row r="41" spans="1:65" hidden="1" outlineLevel="1" x14ac:dyDescent="0.25">
      <c r="A41" s="50" t="s">
        <v>86</v>
      </c>
      <c r="B41" s="47" t="s">
        <v>87</v>
      </c>
      <c r="C41" s="46"/>
      <c r="D41" s="47" t="s">
        <v>19</v>
      </c>
      <c r="E41" s="48">
        <v>1</v>
      </c>
      <c r="F41" s="49" t="s">
        <v>20</v>
      </c>
      <c r="G41" s="49" t="s">
        <v>20</v>
      </c>
      <c r="H41" s="49" t="s">
        <v>20</v>
      </c>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row>
    <row r="42" spans="1:65" ht="45" hidden="1" outlineLevel="1" x14ac:dyDescent="0.25">
      <c r="A42" s="50" t="s">
        <v>88</v>
      </c>
      <c r="B42" s="51" t="s">
        <v>89</v>
      </c>
      <c r="C42" s="46"/>
      <c r="D42" s="51" t="s">
        <v>19</v>
      </c>
      <c r="E42" s="48">
        <v>1</v>
      </c>
      <c r="F42" s="49" t="s">
        <v>20</v>
      </c>
      <c r="G42" s="49" t="s">
        <v>20</v>
      </c>
      <c r="H42" s="49" t="s">
        <v>20</v>
      </c>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row>
    <row r="43" spans="1:65" ht="45" hidden="1" outlineLevel="1" x14ac:dyDescent="0.25">
      <c r="A43" s="50" t="s">
        <v>88</v>
      </c>
      <c r="B43" s="47" t="s">
        <v>90</v>
      </c>
      <c r="C43" s="46"/>
      <c r="D43" s="47" t="s">
        <v>91</v>
      </c>
      <c r="E43" s="48">
        <v>1</v>
      </c>
      <c r="F43" s="49" t="s">
        <v>20</v>
      </c>
      <c r="G43" s="49" t="s">
        <v>20</v>
      </c>
      <c r="H43" s="49" t="s">
        <v>20</v>
      </c>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row>
    <row r="44" spans="1:65" ht="45" hidden="1" outlineLevel="1" x14ac:dyDescent="0.25">
      <c r="A44" s="50" t="s">
        <v>88</v>
      </c>
      <c r="B44" s="51" t="s">
        <v>92</v>
      </c>
      <c r="C44" s="46"/>
      <c r="D44" s="51" t="s">
        <v>19</v>
      </c>
      <c r="E44" s="48">
        <v>1</v>
      </c>
      <c r="F44" s="49" t="s">
        <v>20</v>
      </c>
      <c r="G44" s="49" t="s">
        <v>20</v>
      </c>
      <c r="H44" s="49" t="s">
        <v>20</v>
      </c>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row>
    <row r="45" spans="1:65" hidden="1" outlineLevel="1" x14ac:dyDescent="0.25">
      <c r="A45" s="50" t="s">
        <v>88</v>
      </c>
      <c r="B45" s="47" t="s">
        <v>93</v>
      </c>
      <c r="C45" s="46"/>
      <c r="D45" s="47" t="s">
        <v>19</v>
      </c>
      <c r="E45" s="48">
        <v>1</v>
      </c>
      <c r="F45" s="49" t="s">
        <v>20</v>
      </c>
      <c r="G45" s="49" t="s">
        <v>20</v>
      </c>
      <c r="H45" s="49" t="s">
        <v>20</v>
      </c>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row>
    <row r="46" spans="1:65" ht="57.75" collapsed="1" x14ac:dyDescent="0.25">
      <c r="A46" s="52" t="s">
        <v>94</v>
      </c>
      <c r="B46" s="62" t="s">
        <v>95</v>
      </c>
      <c r="C46" s="46"/>
      <c r="D46" s="63" t="s">
        <v>96</v>
      </c>
      <c r="E46" s="48"/>
      <c r="F46" s="64">
        <v>45719</v>
      </c>
      <c r="G46" s="65"/>
      <c r="H46" s="66">
        <f>Milestones4352434[[#This Row],[BẮT ĐẦU]]+Milestones4352434[[#This Row],[NGÀY]]</f>
        <v>45719</v>
      </c>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row>
    <row r="47" spans="1:65" ht="45" x14ac:dyDescent="0.25">
      <c r="A47" s="52"/>
      <c r="B47" s="67" t="s">
        <v>97</v>
      </c>
      <c r="C47" s="46"/>
      <c r="D47" s="68" t="s">
        <v>98</v>
      </c>
      <c r="E47" s="48"/>
      <c r="F47" s="55">
        <v>45838</v>
      </c>
      <c r="G47" s="69">
        <v>45</v>
      </c>
      <c r="H47" s="55">
        <f>Milestones4352434[[#This Row],[BẮT ĐẦU]]+Milestones4352434[[#This Row],[NGÀY]]</f>
        <v>45883</v>
      </c>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row>
    <row r="48" spans="1:65" ht="15" x14ac:dyDescent="0.25">
      <c r="A48" s="52"/>
      <c r="B48" s="67" t="s">
        <v>99</v>
      </c>
      <c r="C48" s="46"/>
      <c r="D48" s="68" t="s">
        <v>98</v>
      </c>
      <c r="E48" s="48"/>
      <c r="F48" s="70">
        <v>45904</v>
      </c>
      <c r="G48" s="71">
        <v>1</v>
      </c>
      <c r="H48" s="72">
        <f>Milestones4352434[[#This Row],[BẮT ĐẦU]]+Milestones4352434[[#This Row],[NGÀY]]</f>
        <v>45905</v>
      </c>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row>
    <row r="49" spans="1:65" s="76" customFormat="1" ht="28.5" x14ac:dyDescent="0.25">
      <c r="A49" s="52" t="s">
        <v>100</v>
      </c>
      <c r="B49" s="63" t="s">
        <v>101</v>
      </c>
      <c r="C49" s="46"/>
      <c r="D49" s="68" t="s">
        <v>39</v>
      </c>
      <c r="E49" s="48"/>
      <c r="F49" s="73">
        <f>F50</f>
        <v>45904</v>
      </c>
      <c r="G49" s="74">
        <f>Milestones4352434[[#This Row],[KẾT THÚC]]-Milestones4352434[[#This Row],[BẮT ĐẦU]]</f>
        <v>12</v>
      </c>
      <c r="H49" s="75">
        <v>45916</v>
      </c>
      <c r="J49" s="77"/>
      <c r="K49" s="77"/>
      <c r="L49" s="77"/>
      <c r="M49" s="43"/>
      <c r="N49" s="43"/>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row>
    <row r="50" spans="1:65" x14ac:dyDescent="0.25">
      <c r="A50" s="50" t="s">
        <v>102</v>
      </c>
      <c r="B50" s="47" t="s">
        <v>103</v>
      </c>
      <c r="C50" s="46"/>
      <c r="D50" s="47" t="s">
        <v>39</v>
      </c>
      <c r="E50" s="48">
        <v>0</v>
      </c>
      <c r="F50" s="55">
        <f t="shared" ref="F50:F55" si="4">F48</f>
        <v>45904</v>
      </c>
      <c r="G50" s="78">
        <v>1</v>
      </c>
      <c r="H50" s="57">
        <f>Milestones4352434[[#This Row],[BẮT ĐẦU]]+Milestones4352434[[#This Row],[NGÀY]]</f>
        <v>45905</v>
      </c>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row>
    <row r="51" spans="1:65" x14ac:dyDescent="0.25">
      <c r="A51" s="50" t="s">
        <v>104</v>
      </c>
      <c r="B51" s="51" t="s">
        <v>105</v>
      </c>
      <c r="C51" s="46"/>
      <c r="D51" s="51" t="s">
        <v>39</v>
      </c>
      <c r="E51" s="48">
        <v>0</v>
      </c>
      <c r="F51" s="55">
        <f t="shared" si="4"/>
        <v>45904</v>
      </c>
      <c r="G51" s="78">
        <v>5</v>
      </c>
      <c r="H51" s="57">
        <f>Milestones4352434[[#This Row],[BẮT ĐẦU]]+Milestones4352434[[#This Row],[NGÀY]]</f>
        <v>45909</v>
      </c>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row>
    <row r="52" spans="1:65" x14ac:dyDescent="0.25">
      <c r="A52" s="50" t="s">
        <v>106</v>
      </c>
      <c r="B52" s="47" t="s">
        <v>107</v>
      </c>
      <c r="C52" s="46"/>
      <c r="D52" s="47" t="s">
        <v>39</v>
      </c>
      <c r="E52" s="48">
        <v>0</v>
      </c>
      <c r="F52" s="55">
        <f t="shared" si="4"/>
        <v>45904</v>
      </c>
      <c r="G52" s="78">
        <v>5</v>
      </c>
      <c r="H52" s="57">
        <f>Milestones4352434[[#This Row],[BẮT ĐẦU]]+Milestones4352434[[#This Row],[NGÀY]]</f>
        <v>45909</v>
      </c>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row>
    <row r="53" spans="1:65" ht="15" x14ac:dyDescent="0.25">
      <c r="A53" s="50"/>
      <c r="B53" s="51" t="s">
        <v>108</v>
      </c>
      <c r="C53" s="46"/>
      <c r="D53" s="51" t="s">
        <v>39</v>
      </c>
      <c r="E53" s="48">
        <v>0</v>
      </c>
      <c r="F53" s="55">
        <f t="shared" si="4"/>
        <v>45904</v>
      </c>
      <c r="G53" s="78">
        <v>1</v>
      </c>
      <c r="H53" s="57">
        <f>Milestones4352434[[#This Row],[BẮT ĐẦU]]+Milestones4352434[[#This Row],[NGÀY]]</f>
        <v>45905</v>
      </c>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row>
    <row r="54" spans="1:65" ht="15" x14ac:dyDescent="0.25">
      <c r="A54" s="50"/>
      <c r="B54" s="47" t="s">
        <v>109</v>
      </c>
      <c r="C54" s="46"/>
      <c r="D54" s="47" t="s">
        <v>39</v>
      </c>
      <c r="E54" s="48">
        <v>0</v>
      </c>
      <c r="F54" s="55">
        <f t="shared" si="4"/>
        <v>45904</v>
      </c>
      <c r="G54" s="78">
        <v>1</v>
      </c>
      <c r="H54" s="57">
        <f>Milestones4352434[[#This Row],[BẮT ĐẦU]]+Milestones4352434[[#This Row],[NGÀY]]</f>
        <v>45905</v>
      </c>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row>
    <row r="55" spans="1:65" ht="15" x14ac:dyDescent="0.25">
      <c r="A55" s="50"/>
      <c r="B55" s="51" t="s">
        <v>110</v>
      </c>
      <c r="C55" s="46"/>
      <c r="D55" s="51" t="s">
        <v>39</v>
      </c>
      <c r="E55" s="48">
        <v>0</v>
      </c>
      <c r="F55" s="55">
        <f t="shared" si="4"/>
        <v>45904</v>
      </c>
      <c r="G55" s="78">
        <v>7</v>
      </c>
      <c r="H55" s="57">
        <f>Milestones4352434[[#This Row],[BẮT ĐẦU]]+Milestones4352434[[#This Row],[NGÀY]]</f>
        <v>45911</v>
      </c>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row>
    <row r="56" spans="1:65" x14ac:dyDescent="0.25">
      <c r="A56" s="50" t="s">
        <v>111</v>
      </c>
      <c r="B56" s="47" t="s">
        <v>112</v>
      </c>
      <c r="C56" s="46"/>
      <c r="D56" s="47" t="s">
        <v>39</v>
      </c>
      <c r="E56" s="48">
        <v>0</v>
      </c>
      <c r="F56" s="55">
        <v>45909</v>
      </c>
      <c r="G56" s="78">
        <v>4</v>
      </c>
      <c r="H56" s="57">
        <f>Milestones4352434[[#This Row],[BẮT ĐẦU]]+Milestones4352434[[#This Row],[NGÀY]]</f>
        <v>45913</v>
      </c>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row>
    <row r="57" spans="1:65" ht="15" x14ac:dyDescent="0.25">
      <c r="A57" s="50" t="s">
        <v>113</v>
      </c>
      <c r="B57" s="51" t="s">
        <v>114</v>
      </c>
      <c r="C57" s="46"/>
      <c r="D57" s="51" t="s">
        <v>39</v>
      </c>
      <c r="E57" s="48">
        <v>0</v>
      </c>
      <c r="F57" s="55">
        <v>45942</v>
      </c>
      <c r="G57" s="78">
        <v>3</v>
      </c>
      <c r="H57" s="57">
        <f>Milestones4352434[[#This Row],[BẮT ĐẦU]]+Milestones4352434[[#This Row],[NGÀY]]</f>
        <v>45945</v>
      </c>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row>
    <row r="58" spans="1:65" x14ac:dyDescent="0.25">
      <c r="A58" s="50" t="s">
        <v>115</v>
      </c>
      <c r="B58" s="47" t="s">
        <v>116</v>
      </c>
      <c r="C58" s="46"/>
      <c r="D58" s="47" t="s">
        <v>117</v>
      </c>
      <c r="E58" s="48">
        <v>0</v>
      </c>
      <c r="F58" s="55">
        <v>45945</v>
      </c>
      <c r="G58" s="78">
        <v>1</v>
      </c>
      <c r="H58" s="57">
        <f>Milestones4352434[[#This Row],[BẮT ĐẦU]]+Milestones4352434[[#This Row],[NGÀY]]</f>
        <v>45946</v>
      </c>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row>
    <row r="59" spans="1:65" s="76" customFormat="1" ht="15" x14ac:dyDescent="0.25">
      <c r="A59" s="79" t="s">
        <v>118</v>
      </c>
      <c r="B59" s="80" t="s">
        <v>119</v>
      </c>
      <c r="C59" s="81"/>
      <c r="D59" s="80"/>
      <c r="E59" s="82"/>
      <c r="F59" s="83">
        <f>H60</f>
        <v>45961</v>
      </c>
      <c r="G59" s="79">
        <v>55</v>
      </c>
      <c r="H59" s="84">
        <f>Milestones4352434[[#This Row],[BẮT ĐẦU]]+Milestones4352434[[#This Row],[NGÀY]]</f>
        <v>46016</v>
      </c>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row>
    <row r="60" spans="1:65" x14ac:dyDescent="0.25">
      <c r="A60" s="85" t="s">
        <v>120</v>
      </c>
      <c r="B60" s="86" t="s">
        <v>121</v>
      </c>
      <c r="C60" s="81"/>
      <c r="D60" s="86" t="s">
        <v>19</v>
      </c>
      <c r="E60" s="82"/>
      <c r="F60" s="87"/>
      <c r="G60" s="85"/>
      <c r="H60" s="88">
        <v>45961</v>
      </c>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row>
    <row r="61" spans="1:65" ht="15" x14ac:dyDescent="0.25">
      <c r="A61" s="85" t="s">
        <v>122</v>
      </c>
      <c r="B61" s="86" t="s">
        <v>123</v>
      </c>
      <c r="C61" s="81"/>
      <c r="D61" s="86" t="s">
        <v>124</v>
      </c>
      <c r="E61" s="82"/>
      <c r="F61" s="87">
        <v>45962</v>
      </c>
      <c r="G61" s="85">
        <f>Milestones4352434[[#This Row],[KẾT THÚC]]-Milestones4352434[[#This Row],[BẮT ĐẦU]]</f>
        <v>26</v>
      </c>
      <c r="H61" s="88">
        <v>45988</v>
      </c>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3"/>
      <c r="BK61" s="43"/>
      <c r="BL61" s="43"/>
      <c r="BM61" s="43"/>
    </row>
    <row r="62" spans="1:65" ht="60" x14ac:dyDescent="0.25">
      <c r="A62" s="85" t="s">
        <v>88</v>
      </c>
      <c r="B62" s="86" t="s">
        <v>125</v>
      </c>
      <c r="C62" s="81"/>
      <c r="D62" s="86" t="s">
        <v>124</v>
      </c>
      <c r="E62" s="82"/>
      <c r="F62" s="87">
        <v>45962</v>
      </c>
      <c r="G62" s="85">
        <f>Milestones4352434[[#This Row],[KẾT THÚC]]-Milestones4352434[[#This Row],[BẮT ĐẦU]]</f>
        <v>26</v>
      </c>
      <c r="H62" s="88">
        <v>45988</v>
      </c>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row>
    <row r="63" spans="1:65" x14ac:dyDescent="0.25">
      <c r="A63" s="85" t="s">
        <v>88</v>
      </c>
      <c r="B63" s="86" t="s">
        <v>31</v>
      </c>
      <c r="C63" s="81"/>
      <c r="D63" s="86" t="s">
        <v>19</v>
      </c>
      <c r="E63" s="82"/>
      <c r="F63" s="87"/>
      <c r="G63" s="85"/>
      <c r="H63" s="88"/>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row>
    <row r="64" spans="1:65" ht="15" x14ac:dyDescent="0.25">
      <c r="A64" s="85"/>
      <c r="B64" s="47" t="s">
        <v>126</v>
      </c>
      <c r="C64" s="81"/>
      <c r="D64" s="85"/>
      <c r="E64" s="82"/>
      <c r="F64" s="89"/>
      <c r="G64" s="90"/>
      <c r="H64" s="91">
        <v>45672</v>
      </c>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row>
    <row r="65" spans="1:65" ht="15" x14ac:dyDescent="0.25">
      <c r="A65" s="85" t="s">
        <v>88</v>
      </c>
      <c r="B65" s="86" t="s">
        <v>127</v>
      </c>
      <c r="C65" s="81"/>
      <c r="D65" s="86" t="s">
        <v>124</v>
      </c>
      <c r="E65" s="82"/>
      <c r="F65" s="87"/>
      <c r="G65" s="85"/>
      <c r="H65" s="88"/>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row>
    <row r="66" spans="1:65" ht="15" x14ac:dyDescent="0.25">
      <c r="A66" s="85" t="s">
        <v>128</v>
      </c>
      <c r="B66" s="86" t="s">
        <v>129</v>
      </c>
      <c r="C66" s="81"/>
      <c r="D66" s="86" t="s">
        <v>130</v>
      </c>
      <c r="E66" s="82"/>
      <c r="F66" s="87"/>
      <c r="G66" s="85"/>
      <c r="H66" s="88"/>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row>
    <row r="67" spans="1:65" ht="15" x14ac:dyDescent="0.25">
      <c r="A67" s="79" t="s">
        <v>118</v>
      </c>
      <c r="B67" s="80" t="s">
        <v>131</v>
      </c>
      <c r="C67" s="81"/>
      <c r="D67" s="80"/>
      <c r="E67" s="82"/>
      <c r="F67" s="83">
        <f>H68</f>
        <v>46064</v>
      </c>
      <c r="G67" s="79">
        <v>55</v>
      </c>
      <c r="H67" s="84">
        <f>Milestones4352434[[#This Row],[BẮT ĐẦU]]+Milestones4352434[[#This Row],[NGÀY]]</f>
        <v>46119</v>
      </c>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row>
    <row r="68" spans="1:65" x14ac:dyDescent="0.25">
      <c r="A68" s="85" t="s">
        <v>120</v>
      </c>
      <c r="B68" s="86" t="s">
        <v>121</v>
      </c>
      <c r="C68" s="81"/>
      <c r="D68" s="86" t="s">
        <v>19</v>
      </c>
      <c r="E68" s="82"/>
      <c r="F68" s="87"/>
      <c r="G68" s="85"/>
      <c r="H68" s="88">
        <v>46064</v>
      </c>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row>
    <row r="69" spans="1:65" ht="15" x14ac:dyDescent="0.25">
      <c r="A69" s="85" t="s">
        <v>122</v>
      </c>
      <c r="B69" s="86" t="s">
        <v>123</v>
      </c>
      <c r="C69" s="81"/>
      <c r="D69" s="86" t="s">
        <v>124</v>
      </c>
      <c r="E69" s="82"/>
      <c r="F69" s="87">
        <v>46064</v>
      </c>
      <c r="G69" s="85">
        <v>5</v>
      </c>
      <c r="H69" s="88">
        <v>46094</v>
      </c>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row>
    <row r="70" spans="1:65" ht="60" x14ac:dyDescent="0.25">
      <c r="A70" s="85" t="s">
        <v>88</v>
      </c>
      <c r="B70" s="86" t="s">
        <v>125</v>
      </c>
      <c r="C70" s="81"/>
      <c r="D70" s="86" t="s">
        <v>124</v>
      </c>
      <c r="E70" s="82"/>
      <c r="F70" s="87">
        <v>46064</v>
      </c>
      <c r="G70" s="85">
        <v>30</v>
      </c>
      <c r="H70" s="88">
        <v>46094</v>
      </c>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row>
    <row r="71" spans="1:65" x14ac:dyDescent="0.25">
      <c r="A71" s="85" t="s">
        <v>88</v>
      </c>
      <c r="B71" s="86" t="s">
        <v>31</v>
      </c>
      <c r="C71" s="81"/>
      <c r="D71" s="86" t="s">
        <v>19</v>
      </c>
      <c r="E71" s="82"/>
      <c r="F71" s="87">
        <v>46094</v>
      </c>
      <c r="G71" s="85">
        <f>Milestones4352434[[#This Row],[KẾT THÚC]]-Milestones4352434[[#This Row],[BẮT ĐẦU]]</f>
        <v>7</v>
      </c>
      <c r="H71" s="88">
        <v>46101</v>
      </c>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row>
    <row r="72" spans="1:65" ht="15" x14ac:dyDescent="0.25">
      <c r="A72" s="85" t="s">
        <v>88</v>
      </c>
      <c r="B72" s="86" t="s">
        <v>127</v>
      </c>
      <c r="C72" s="81"/>
      <c r="D72" s="86" t="s">
        <v>124</v>
      </c>
      <c r="E72" s="82"/>
      <c r="F72" s="87">
        <f>H71</f>
        <v>46101</v>
      </c>
      <c r="G72" s="85">
        <f>Milestones4352434[[#This Row],[KẾT THÚC]]-Milestones4352434[[#This Row],[BẮT ĐẦU]]</f>
        <v>27</v>
      </c>
      <c r="H72" s="88">
        <v>46128</v>
      </c>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row>
    <row r="73" spans="1:65" ht="15" x14ac:dyDescent="0.25">
      <c r="A73" s="85" t="s">
        <v>128</v>
      </c>
      <c r="B73" s="86" t="s">
        <v>129</v>
      </c>
      <c r="C73" s="81"/>
      <c r="D73" s="86" t="s">
        <v>130</v>
      </c>
      <c r="E73" s="82"/>
      <c r="F73" s="87">
        <f>H72</f>
        <v>46128</v>
      </c>
      <c r="G73" s="85">
        <v>1</v>
      </c>
      <c r="H73" s="116">
        <v>46178</v>
      </c>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row>
    <row r="74" spans="1:65" ht="15" x14ac:dyDescent="0.25">
      <c r="A74" s="30" t="s">
        <v>132</v>
      </c>
      <c r="B74" s="31" t="s">
        <v>133</v>
      </c>
      <c r="C74" s="32"/>
      <c r="D74" s="33"/>
      <c r="E74" s="34"/>
      <c r="F74" s="92"/>
      <c r="G74" s="93"/>
      <c r="H74" s="94"/>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row>
    <row r="75" spans="1:65" ht="28.5" x14ac:dyDescent="0.25">
      <c r="A75" s="37">
        <v>1</v>
      </c>
      <c r="B75" s="38" t="s">
        <v>134</v>
      </c>
      <c r="C75" s="39"/>
      <c r="D75" s="40" t="s">
        <v>39</v>
      </c>
      <c r="E75" s="41"/>
      <c r="F75" s="95">
        <f>H73</f>
        <v>46178</v>
      </c>
      <c r="G75" s="96">
        <v>1</v>
      </c>
      <c r="H75" s="97">
        <f>Milestones4352434[[#This Row],[BẮT ĐẦU]]+Milestones4352434[[#This Row],[NGÀY]]</f>
        <v>46179</v>
      </c>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row>
    <row r="76" spans="1:65" ht="42.75" x14ac:dyDescent="0.25">
      <c r="A76" s="37">
        <v>2</v>
      </c>
      <c r="B76" s="38" t="s">
        <v>135</v>
      </c>
      <c r="C76" s="39"/>
      <c r="D76" s="40" t="s">
        <v>39</v>
      </c>
      <c r="E76" s="41"/>
      <c r="F76" s="95"/>
      <c r="G76" s="96"/>
      <c r="H76" s="97"/>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row>
    <row r="77" spans="1:65" ht="43.5" x14ac:dyDescent="0.25">
      <c r="A77" s="37">
        <v>3</v>
      </c>
      <c r="B77" s="117" t="s">
        <v>191</v>
      </c>
      <c r="C77" s="39"/>
      <c r="D77" s="40" t="s">
        <v>39</v>
      </c>
      <c r="E77" s="41"/>
      <c r="F77" s="98">
        <f>F78</f>
        <v>46189</v>
      </c>
      <c r="G77" s="118">
        <f>Milestones4352434[[#This Row],[KẾT THÚC]]-Milestones4352434[[#This Row],[BẮT ĐẦU]]</f>
        <v>40</v>
      </c>
      <c r="H77" s="98">
        <f>H83</f>
        <v>46229</v>
      </c>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row>
    <row r="78" spans="1:65" ht="15" x14ac:dyDescent="0.25">
      <c r="A78" s="50" t="s">
        <v>88</v>
      </c>
      <c r="B78" s="47" t="s">
        <v>176</v>
      </c>
      <c r="C78" s="46"/>
      <c r="D78" s="68" t="s">
        <v>39</v>
      </c>
      <c r="E78" s="120"/>
      <c r="F78" s="55">
        <v>46189</v>
      </c>
      <c r="G78" s="119">
        <v>1</v>
      </c>
      <c r="H78" s="91">
        <f>Milestones4352434[[#This Row],[BẮT ĐẦU]]+Milestones4352434[[#This Row],[NGÀY]]</f>
        <v>46190</v>
      </c>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row>
    <row r="79" spans="1:65" ht="15" x14ac:dyDescent="0.25">
      <c r="A79" s="52" t="s">
        <v>88</v>
      </c>
      <c r="B79" s="47" t="s">
        <v>177</v>
      </c>
      <c r="C79" s="46"/>
      <c r="D79" s="68" t="s">
        <v>179</v>
      </c>
      <c r="E79" s="48"/>
      <c r="F79" s="55"/>
      <c r="G79" s="119"/>
      <c r="H79" s="91">
        <f>Milestones4352434[[#This Row],[BẮT ĐẦU]]+Milestones4352434[[#This Row],[NGÀY]]</f>
        <v>0</v>
      </c>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row>
    <row r="80" spans="1:65" ht="45" x14ac:dyDescent="0.25">
      <c r="A80" s="52" t="s">
        <v>88</v>
      </c>
      <c r="B80" s="47" t="s">
        <v>178</v>
      </c>
      <c r="C80" s="46"/>
      <c r="D80" s="68" t="s">
        <v>179</v>
      </c>
      <c r="E80" s="48"/>
      <c r="F80" s="55">
        <v>46190</v>
      </c>
      <c r="G80" s="119">
        <v>6</v>
      </c>
      <c r="H80" s="91">
        <f>Milestones4352434[[#This Row],[BẮT ĐẦU]]+Milestones4352434[[#This Row],[NGÀY]]</f>
        <v>46196</v>
      </c>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row>
    <row r="81" spans="1:65" x14ac:dyDescent="0.25">
      <c r="A81" s="52" t="s">
        <v>88</v>
      </c>
      <c r="B81" s="47" t="s">
        <v>31</v>
      </c>
      <c r="C81" s="46"/>
      <c r="D81" s="68" t="s">
        <v>39</v>
      </c>
      <c r="E81" s="48"/>
      <c r="F81" s="55">
        <f>H80</f>
        <v>46196</v>
      </c>
      <c r="G81" s="119">
        <v>19</v>
      </c>
      <c r="H81" s="91">
        <f>Milestones4352434[[#This Row],[BẮT ĐẦU]]+Milestones4352434[[#This Row],[NGÀY]]</f>
        <v>46215</v>
      </c>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row>
    <row r="82" spans="1:65" ht="15" x14ac:dyDescent="0.25">
      <c r="A82" s="52" t="s">
        <v>88</v>
      </c>
      <c r="B82" s="47" t="s">
        <v>127</v>
      </c>
      <c r="C82" s="46"/>
      <c r="D82" s="68" t="s">
        <v>179</v>
      </c>
      <c r="E82" s="48"/>
      <c r="F82" s="55">
        <f>H81</f>
        <v>46215</v>
      </c>
      <c r="G82" s="119">
        <v>7</v>
      </c>
      <c r="H82" s="91">
        <f>Milestones4352434[[#This Row],[BẮT ĐẦU]]+Milestones4352434[[#This Row],[NGÀY]]</f>
        <v>46222</v>
      </c>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row>
    <row r="83" spans="1:65" x14ac:dyDescent="0.25">
      <c r="A83" s="52" t="s">
        <v>88</v>
      </c>
      <c r="B83" s="47" t="s">
        <v>180</v>
      </c>
      <c r="C83" s="46"/>
      <c r="D83" s="68" t="s">
        <v>181</v>
      </c>
      <c r="E83" s="48"/>
      <c r="F83" s="55">
        <f>H82</f>
        <v>46222</v>
      </c>
      <c r="G83" s="119">
        <v>7</v>
      </c>
      <c r="H83" s="91">
        <f>Milestones4352434[[#This Row],[BẮT ĐẦU]]+Milestones4352434[[#This Row],[NGÀY]]</f>
        <v>46229</v>
      </c>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row>
    <row r="84" spans="1:65" ht="28.5" x14ac:dyDescent="0.25">
      <c r="A84" s="37">
        <v>4</v>
      </c>
      <c r="B84" s="38" t="s">
        <v>136</v>
      </c>
      <c r="C84" s="39"/>
      <c r="D84" s="40"/>
      <c r="E84" s="41"/>
      <c r="F84" s="98">
        <v>46183</v>
      </c>
      <c r="G84" s="99">
        <v>15</v>
      </c>
      <c r="H84" s="97">
        <f>Milestones4352434[[#This Row],[BẮT ĐẦU]]+Milestones4352434[[#This Row],[NGÀY]]</f>
        <v>46198</v>
      </c>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row>
    <row r="85" spans="1:65" x14ac:dyDescent="0.25">
      <c r="A85" s="60" t="s">
        <v>148</v>
      </c>
      <c r="B85" s="100" t="s">
        <v>137</v>
      </c>
      <c r="C85" s="46"/>
      <c r="D85" s="47" t="s">
        <v>19</v>
      </c>
      <c r="E85" s="48"/>
      <c r="F85" s="55">
        <f>F84</f>
        <v>46183</v>
      </c>
      <c r="G85" s="71">
        <v>4</v>
      </c>
      <c r="H85" s="57">
        <f>Milestones4352434[[#This Row],[BẮT ĐẦU]]+Milestones4352434[[#This Row],[NGÀY]]</f>
        <v>46187</v>
      </c>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row>
    <row r="86" spans="1:65" x14ac:dyDescent="0.25">
      <c r="A86" s="50" t="s">
        <v>88</v>
      </c>
      <c r="B86" s="51" t="s">
        <v>138</v>
      </c>
      <c r="C86" s="46"/>
      <c r="D86" s="51" t="s">
        <v>19</v>
      </c>
      <c r="E86" s="48"/>
      <c r="F86" s="55">
        <f>F84</f>
        <v>46183</v>
      </c>
      <c r="G86" s="71">
        <v>1</v>
      </c>
      <c r="H86" s="57">
        <f>Milestones4352434[[#This Row],[BẮT ĐẦU]]+Milestones4352434[[#This Row],[NGÀY]]</f>
        <v>46184</v>
      </c>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row>
    <row r="87" spans="1:65" ht="45" x14ac:dyDescent="0.25">
      <c r="A87" s="50" t="s">
        <v>88</v>
      </c>
      <c r="B87" s="47" t="s">
        <v>139</v>
      </c>
      <c r="C87" s="46"/>
      <c r="D87" s="47" t="s">
        <v>140</v>
      </c>
      <c r="E87" s="48"/>
      <c r="F87" s="55">
        <f t="shared" ref="F87:F93" si="5">H86</f>
        <v>46184</v>
      </c>
      <c r="G87" s="71">
        <v>1</v>
      </c>
      <c r="H87" s="57">
        <f>Milestones4352434[[#This Row],[BẮT ĐẦU]]+Milestones4352434[[#This Row],[NGÀY]]</f>
        <v>46185</v>
      </c>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row>
    <row r="88" spans="1:65" ht="45" x14ac:dyDescent="0.25">
      <c r="A88" s="50" t="s">
        <v>88</v>
      </c>
      <c r="B88" s="51" t="s">
        <v>141</v>
      </c>
      <c r="C88" s="46"/>
      <c r="D88" s="51" t="s">
        <v>142</v>
      </c>
      <c r="E88" s="48"/>
      <c r="F88" s="55">
        <f t="shared" si="5"/>
        <v>46185</v>
      </c>
      <c r="G88" s="71">
        <v>1</v>
      </c>
      <c r="H88" s="57">
        <f>Milestones4352434[[#This Row],[BẮT ĐẦU]]+Milestones4352434[[#This Row],[NGÀY]]</f>
        <v>46186</v>
      </c>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row>
    <row r="89" spans="1:65" x14ac:dyDescent="0.25">
      <c r="A89" s="50" t="s">
        <v>88</v>
      </c>
      <c r="B89" s="47" t="s">
        <v>143</v>
      </c>
      <c r="C89" s="46"/>
      <c r="D89" s="47" t="s">
        <v>39</v>
      </c>
      <c r="E89" s="48"/>
      <c r="F89" s="55">
        <f t="shared" si="5"/>
        <v>46186</v>
      </c>
      <c r="G89" s="71">
        <v>1</v>
      </c>
      <c r="H89" s="57">
        <f>Milestones4352434[[#This Row],[BẮT ĐẦU]]+Milestones4352434[[#This Row],[NGÀY]]</f>
        <v>46187</v>
      </c>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row>
    <row r="90" spans="1:65" ht="15" x14ac:dyDescent="0.25">
      <c r="A90" s="60" t="s">
        <v>153</v>
      </c>
      <c r="B90" s="61" t="s">
        <v>144</v>
      </c>
      <c r="C90" s="46"/>
      <c r="D90" s="51" t="s">
        <v>98</v>
      </c>
      <c r="E90" s="48"/>
      <c r="F90" s="55">
        <f t="shared" si="5"/>
        <v>46187</v>
      </c>
      <c r="G90" s="71">
        <v>45</v>
      </c>
      <c r="H90" s="57">
        <f>Milestones4352434[[#This Row],[BẮT ĐẦU]]+Milestones4352434[[#This Row],[NGÀY]]</f>
        <v>46232</v>
      </c>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row>
    <row r="91" spans="1:65" x14ac:dyDescent="0.25">
      <c r="A91" s="60" t="s">
        <v>161</v>
      </c>
      <c r="B91" s="100" t="s">
        <v>145</v>
      </c>
      <c r="C91" s="46"/>
      <c r="D91" s="47" t="s">
        <v>96</v>
      </c>
      <c r="E91" s="48"/>
      <c r="F91" s="55">
        <f t="shared" si="5"/>
        <v>46232</v>
      </c>
      <c r="G91" s="71">
        <v>3</v>
      </c>
      <c r="H91" s="57">
        <f>Milestones4352434[[#This Row],[BẮT ĐẦU]]+Milestones4352434[[#This Row],[NGÀY]]</f>
        <v>46235</v>
      </c>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row>
    <row r="92" spans="1:65" ht="15" x14ac:dyDescent="0.25">
      <c r="A92" s="60" t="s">
        <v>182</v>
      </c>
      <c r="B92" s="100" t="s">
        <v>146</v>
      </c>
      <c r="C92" s="46"/>
      <c r="D92" s="47" t="s">
        <v>142</v>
      </c>
      <c r="E92" s="48"/>
      <c r="F92" s="55">
        <f t="shared" si="5"/>
        <v>46235</v>
      </c>
      <c r="G92" s="71">
        <v>1</v>
      </c>
      <c r="H92" s="57">
        <f>Milestones4352434[[#This Row],[BẮT ĐẦU]]+Milestones4352434[[#This Row],[NGÀY]]</f>
        <v>46236</v>
      </c>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row>
    <row r="93" spans="1:65" ht="28.5" x14ac:dyDescent="0.25">
      <c r="A93" s="37">
        <v>5</v>
      </c>
      <c r="B93" s="38" t="s">
        <v>147</v>
      </c>
      <c r="C93" s="39"/>
      <c r="D93" s="40" t="s">
        <v>19</v>
      </c>
      <c r="E93" s="41"/>
      <c r="F93" s="98">
        <f t="shared" si="5"/>
        <v>46236</v>
      </c>
      <c r="G93" s="99"/>
      <c r="H93" s="97">
        <f>Milestones4352434[[#This Row],[BẮT ĐẦU]]+Milestones4352434[[#This Row],[NGÀY]]</f>
        <v>46236</v>
      </c>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row>
    <row r="94" spans="1:65" x14ac:dyDescent="0.25">
      <c r="A94" s="60" t="s">
        <v>183</v>
      </c>
      <c r="B94" s="100" t="s">
        <v>149</v>
      </c>
      <c r="C94" s="46"/>
      <c r="D94" s="47" t="s">
        <v>19</v>
      </c>
      <c r="E94" s="48"/>
      <c r="F94" s="55"/>
      <c r="G94" s="71"/>
      <c r="H94" s="57"/>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row>
    <row r="95" spans="1:65" x14ac:dyDescent="0.25">
      <c r="A95" s="50" t="s">
        <v>184</v>
      </c>
      <c r="B95" s="51" t="s">
        <v>150</v>
      </c>
      <c r="C95" s="46"/>
      <c r="D95" s="51" t="s">
        <v>19</v>
      </c>
      <c r="E95" s="48"/>
      <c r="F95" s="55">
        <f>H93</f>
        <v>46236</v>
      </c>
      <c r="G95" s="71">
        <v>3</v>
      </c>
      <c r="H95" s="57">
        <f>Milestones4352434[[#This Row],[BẮT ĐẦU]]+Milestones4352434[[#This Row],[NGÀY]]</f>
        <v>46239</v>
      </c>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row>
    <row r="96" spans="1:65" ht="15" x14ac:dyDescent="0.25">
      <c r="A96" s="50" t="s">
        <v>185</v>
      </c>
      <c r="B96" s="47" t="s">
        <v>151</v>
      </c>
      <c r="C96" s="46"/>
      <c r="D96" s="47" t="s">
        <v>140</v>
      </c>
      <c r="E96" s="48"/>
      <c r="F96" s="55">
        <f>H95</f>
        <v>46239</v>
      </c>
      <c r="G96" s="71">
        <v>3</v>
      </c>
      <c r="H96" s="57">
        <f>Milestones4352434[[#This Row],[BẮT ĐẦU]]+Milestones4352434[[#This Row],[NGÀY]]</f>
        <v>46242</v>
      </c>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row>
    <row r="97" spans="1:65" ht="15" x14ac:dyDescent="0.25">
      <c r="A97" s="50" t="s">
        <v>186</v>
      </c>
      <c r="B97" s="51" t="s">
        <v>152</v>
      </c>
      <c r="C97" s="46"/>
      <c r="D97" s="51" t="s">
        <v>142</v>
      </c>
      <c r="E97" s="48"/>
      <c r="F97" s="55">
        <f>H96</f>
        <v>46242</v>
      </c>
      <c r="G97" s="71">
        <v>1</v>
      </c>
      <c r="H97" s="57">
        <f>Milestones4352434[[#This Row],[BẮT ĐẦU]]+Milestones4352434[[#This Row],[NGÀY]]</f>
        <v>46243</v>
      </c>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row>
    <row r="98" spans="1:65" ht="15" x14ac:dyDescent="0.25">
      <c r="A98" s="60" t="s">
        <v>187</v>
      </c>
      <c r="B98" s="100" t="s">
        <v>154</v>
      </c>
      <c r="C98" s="46"/>
      <c r="D98" s="47" t="s">
        <v>19</v>
      </c>
      <c r="E98" s="48"/>
      <c r="F98" s="55">
        <f>H97</f>
        <v>46243</v>
      </c>
      <c r="G98" s="71">
        <v>90</v>
      </c>
      <c r="H98" s="57">
        <f>Milestones4352434[[#This Row],[BẮT ĐẦU]]+Milestones4352434[[#This Row],[NGÀY]]</f>
        <v>46333</v>
      </c>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row>
    <row r="99" spans="1:65" ht="15" x14ac:dyDescent="0.25">
      <c r="A99" s="50" t="s">
        <v>188</v>
      </c>
      <c r="B99" s="51" t="s">
        <v>155</v>
      </c>
      <c r="C99" s="46"/>
      <c r="D99" s="51" t="s">
        <v>19</v>
      </c>
      <c r="E99" s="48"/>
      <c r="F99" s="55">
        <f>F98</f>
        <v>46243</v>
      </c>
      <c r="G99" s="71">
        <v>30</v>
      </c>
      <c r="H99" s="57">
        <f>Milestones4352434[[#This Row],[BẮT ĐẦU]]+Milestones4352434[[#This Row],[NGÀY]]</f>
        <v>46273</v>
      </c>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row>
    <row r="100" spans="1:65" x14ac:dyDescent="0.25">
      <c r="A100" s="50" t="s">
        <v>189</v>
      </c>
      <c r="B100" s="47" t="s">
        <v>156</v>
      </c>
      <c r="C100" s="46"/>
      <c r="D100" s="47"/>
      <c r="E100" s="48"/>
      <c r="F100" s="55"/>
      <c r="G100" s="56"/>
      <c r="H100" s="57"/>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row>
    <row r="101" spans="1:65" ht="15" x14ac:dyDescent="0.25">
      <c r="A101" s="50" t="s">
        <v>88</v>
      </c>
      <c r="B101" s="51" t="s">
        <v>157</v>
      </c>
      <c r="C101" s="46"/>
      <c r="D101" s="51" t="s">
        <v>19</v>
      </c>
      <c r="E101" s="48"/>
      <c r="F101" s="55"/>
      <c r="G101" s="56"/>
      <c r="H101" s="57"/>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row>
    <row r="102" spans="1:65" ht="15" x14ac:dyDescent="0.25">
      <c r="A102" s="50" t="s">
        <v>88</v>
      </c>
      <c r="B102" s="47" t="s">
        <v>158</v>
      </c>
      <c r="C102" s="46"/>
      <c r="D102" s="47" t="s">
        <v>98</v>
      </c>
      <c r="E102" s="48"/>
      <c r="F102" s="55"/>
      <c r="G102" s="56"/>
      <c r="H102" s="57"/>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row>
    <row r="103" spans="1:65" ht="15" x14ac:dyDescent="0.25">
      <c r="A103" s="50" t="s">
        <v>88</v>
      </c>
      <c r="B103" s="51" t="s">
        <v>159</v>
      </c>
      <c r="C103" s="46"/>
      <c r="D103" s="51" t="s">
        <v>91</v>
      </c>
      <c r="E103" s="48"/>
      <c r="F103" s="55"/>
      <c r="G103" s="56"/>
      <c r="H103" s="57"/>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row>
    <row r="104" spans="1:65" ht="15" x14ac:dyDescent="0.25">
      <c r="A104" s="50" t="s">
        <v>88</v>
      </c>
      <c r="B104" s="47" t="s">
        <v>160</v>
      </c>
      <c r="C104" s="46"/>
      <c r="D104" s="47"/>
      <c r="E104" s="48"/>
      <c r="F104" s="55"/>
      <c r="G104" s="56"/>
      <c r="H104" s="57"/>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row>
    <row r="105" spans="1:65" ht="15" x14ac:dyDescent="0.25">
      <c r="A105" s="60" t="s">
        <v>190</v>
      </c>
      <c r="B105" s="61" t="s">
        <v>162</v>
      </c>
      <c r="C105" s="46"/>
      <c r="D105" s="51"/>
      <c r="E105" s="48"/>
      <c r="F105" s="55">
        <v>46054</v>
      </c>
      <c r="G105" s="56">
        <v>200</v>
      </c>
      <c r="H105" s="57">
        <f>Milestones4352434[[#This Row],[BẮT ĐẦU]]+Milestones4352434[[#This Row],[NGÀY]]</f>
        <v>46254</v>
      </c>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row>
    <row r="106" spans="1:65" ht="28.5" x14ac:dyDescent="0.25">
      <c r="A106" s="37">
        <v>6</v>
      </c>
      <c r="B106" s="38" t="s">
        <v>163</v>
      </c>
      <c r="C106" s="39"/>
      <c r="D106" s="40" t="s">
        <v>19</v>
      </c>
      <c r="E106" s="41"/>
      <c r="F106" s="98">
        <v>46054</v>
      </c>
      <c r="G106" s="101">
        <v>200</v>
      </c>
      <c r="H106" s="97">
        <v>46254</v>
      </c>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row>
    <row r="107" spans="1:65" ht="15" x14ac:dyDescent="0.25">
      <c r="A107" s="37">
        <v>7</v>
      </c>
      <c r="B107" s="38" t="s">
        <v>164</v>
      </c>
      <c r="C107" s="39"/>
      <c r="D107" s="40" t="s">
        <v>19</v>
      </c>
      <c r="E107" s="41"/>
      <c r="F107" s="98">
        <v>46054</v>
      </c>
      <c r="G107" s="101">
        <v>200</v>
      </c>
      <c r="H107" s="97">
        <v>46254</v>
      </c>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row>
    <row r="108" spans="1:65" ht="15" x14ac:dyDescent="0.25">
      <c r="A108" s="37">
        <v>8</v>
      </c>
      <c r="B108" s="38" t="s">
        <v>165</v>
      </c>
      <c r="C108" s="39"/>
      <c r="D108" s="40" t="s">
        <v>39</v>
      </c>
      <c r="E108" s="41"/>
      <c r="F108" s="98">
        <v>46054</v>
      </c>
      <c r="G108" s="101">
        <v>200</v>
      </c>
      <c r="H108" s="97">
        <v>46254</v>
      </c>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row>
    <row r="109" spans="1:65" ht="28.5" x14ac:dyDescent="0.25">
      <c r="A109" s="37">
        <v>9</v>
      </c>
      <c r="B109" s="38" t="s">
        <v>166</v>
      </c>
      <c r="C109" s="39"/>
      <c r="D109" s="40" t="s">
        <v>39</v>
      </c>
      <c r="E109" s="41"/>
      <c r="F109" s="98">
        <v>46054</v>
      </c>
      <c r="G109" s="101">
        <v>200</v>
      </c>
      <c r="H109" s="97">
        <v>46254</v>
      </c>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row>
    <row r="110" spans="1:65" ht="42.75" x14ac:dyDescent="0.25">
      <c r="A110" s="37">
        <v>10</v>
      </c>
      <c r="B110" s="38" t="s">
        <v>167</v>
      </c>
      <c r="C110" s="39"/>
      <c r="D110" s="40" t="s">
        <v>39</v>
      </c>
      <c r="E110" s="41"/>
      <c r="F110" s="98">
        <v>46054</v>
      </c>
      <c r="G110" s="101">
        <v>200</v>
      </c>
      <c r="H110" s="97">
        <v>46254</v>
      </c>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row>
    <row r="111" spans="1:65" ht="15" x14ac:dyDescent="0.25">
      <c r="A111" s="37">
        <v>11</v>
      </c>
      <c r="B111" s="38" t="s">
        <v>168</v>
      </c>
      <c r="C111" s="39"/>
      <c r="D111" s="40" t="s">
        <v>19</v>
      </c>
      <c r="E111" s="41"/>
      <c r="F111" s="98">
        <v>46054</v>
      </c>
      <c r="G111" s="101">
        <v>200</v>
      </c>
      <c r="H111" s="97">
        <v>46254</v>
      </c>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row>
    <row r="112" spans="1:65" ht="28.5" x14ac:dyDescent="0.25">
      <c r="A112" s="37">
        <v>12</v>
      </c>
      <c r="B112" s="38" t="s">
        <v>169</v>
      </c>
      <c r="C112" s="39"/>
      <c r="D112" s="40" t="s">
        <v>19</v>
      </c>
      <c r="E112" s="41"/>
      <c r="F112" s="98">
        <v>46054</v>
      </c>
      <c r="G112" s="101">
        <v>200</v>
      </c>
      <c r="H112" s="97">
        <v>46254</v>
      </c>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row>
    <row r="113" spans="1:65" ht="15" x14ac:dyDescent="0.25">
      <c r="A113" s="102" t="s">
        <v>170</v>
      </c>
      <c r="B113" s="103" t="s">
        <v>171</v>
      </c>
      <c r="C113" s="39"/>
      <c r="D113" s="40"/>
      <c r="E113" s="41"/>
      <c r="F113" s="98"/>
      <c r="G113" s="101"/>
      <c r="H113" s="97"/>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row>
    <row r="114" spans="1:65" ht="15" x14ac:dyDescent="0.25">
      <c r="A114" s="37">
        <v>1</v>
      </c>
      <c r="B114" s="38" t="s">
        <v>172</v>
      </c>
      <c r="C114" s="39"/>
      <c r="D114" s="40" t="s">
        <v>19</v>
      </c>
      <c r="E114" s="41"/>
      <c r="F114" s="98">
        <f>H111</f>
        <v>46254</v>
      </c>
      <c r="G114" s="101">
        <v>365</v>
      </c>
      <c r="H114" s="97">
        <f>Milestones4352434[[#This Row],[BẮT ĐẦU]]+Milestones4352434[[#This Row],[NGÀY]]</f>
        <v>46619</v>
      </c>
      <c r="J114" s="43"/>
      <c r="K114" s="43"/>
      <c r="L114" s="43"/>
      <c r="M114" s="43"/>
      <c r="N114" s="43"/>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row>
    <row r="115" spans="1:65" ht="15" x14ac:dyDescent="0.25">
      <c r="A115" s="37">
        <v>2</v>
      </c>
      <c r="B115" s="38" t="s">
        <v>173</v>
      </c>
      <c r="C115" s="39"/>
      <c r="D115" s="40" t="s">
        <v>19</v>
      </c>
      <c r="E115" s="41"/>
      <c r="F115" s="98">
        <f>H112</f>
        <v>46254</v>
      </c>
      <c r="G115" s="101">
        <v>365</v>
      </c>
      <c r="H115" s="97">
        <f>Milestones4352434[[#This Row],[BẮT ĐẦU]]+Milestones4352434[[#This Row],[NGÀY]]</f>
        <v>46619</v>
      </c>
      <c r="J115" s="43"/>
      <c r="K115" s="43"/>
      <c r="L115" s="43"/>
      <c r="M115" s="43"/>
      <c r="N115" s="43"/>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row>
    <row r="116" spans="1:65" ht="15" x14ac:dyDescent="0.25">
      <c r="A116" s="37">
        <v>3</v>
      </c>
      <c r="B116" s="38" t="s">
        <v>174</v>
      </c>
      <c r="C116" s="39"/>
      <c r="D116" s="40" t="s">
        <v>19</v>
      </c>
      <c r="E116" s="41"/>
      <c r="F116" s="98">
        <v>46054</v>
      </c>
      <c r="G116" s="101">
        <v>200</v>
      </c>
      <c r="H116" s="97">
        <v>46254</v>
      </c>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row>
    <row r="117" spans="1:65" s="43" customFormat="1" x14ac:dyDescent="0.25">
      <c r="A117" s="1"/>
      <c r="B117" s="104" t="s">
        <v>175</v>
      </c>
      <c r="C117" s="105"/>
      <c r="D117" s="105"/>
      <c r="E117" s="6"/>
      <c r="F117" s="106"/>
      <c r="G117" s="107"/>
      <c r="H117" s="108"/>
      <c r="I117" s="105"/>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c r="AH117" s="109"/>
      <c r="AI117" s="109"/>
      <c r="AJ117" s="109"/>
      <c r="AK117" s="109"/>
      <c r="AL117" s="109"/>
      <c r="AM117" s="109"/>
      <c r="AN117" s="109"/>
      <c r="AO117" s="109"/>
      <c r="AP117" s="109"/>
      <c r="AQ117" s="109"/>
      <c r="AR117" s="109"/>
      <c r="AS117" s="109"/>
      <c r="AT117" s="109"/>
      <c r="AU117" s="109"/>
      <c r="AV117" s="109"/>
      <c r="AW117" s="109"/>
      <c r="AX117" s="109"/>
      <c r="AY117" s="109"/>
      <c r="AZ117" s="109"/>
      <c r="BA117" s="109"/>
      <c r="BB117" s="109"/>
      <c r="BC117" s="109"/>
      <c r="BD117" s="109"/>
      <c r="BE117" s="109"/>
      <c r="BF117" s="109"/>
      <c r="BG117" s="109"/>
      <c r="BH117" s="109"/>
      <c r="BI117" s="109"/>
      <c r="BJ117" s="109"/>
      <c r="BK117" s="109"/>
      <c r="BL117" s="109"/>
      <c r="BM117" s="109"/>
    </row>
    <row r="118" spans="1:65" ht="30" customHeight="1" x14ac:dyDescent="0.25">
      <c r="D118" s="111"/>
      <c r="G118" s="113"/>
      <c r="H118" s="113"/>
      <c r="I118" s="114"/>
    </row>
    <row r="119" spans="1:65" ht="30" customHeight="1" x14ac:dyDescent="0.25">
      <c r="D119" s="115"/>
    </row>
  </sheetData>
  <mergeCells count="6">
    <mergeCell ref="B1:BM1"/>
    <mergeCell ref="J2:M2"/>
    <mergeCell ref="O2:R2"/>
    <mergeCell ref="T2:W2"/>
    <mergeCell ref="Y2:AB2"/>
    <mergeCell ref="AD2:AG2"/>
  </mergeCells>
  <phoneticPr fontId="29" type="noConversion"/>
  <conditionalFormatting sqref="J3:AN3">
    <cfRule type="expression" dxfId="13" priority="4">
      <formula>J$4&lt;=EOMONTH($J$4,0)</formula>
    </cfRule>
  </conditionalFormatting>
  <conditionalFormatting sqref="J3:BM3">
    <cfRule type="expression" dxfId="12" priority="2">
      <formula>AND(J$4&lt;=EOMONTH($J$4,1),J$4&gt;EOMONTH($J$4,0))</formula>
    </cfRule>
  </conditionalFormatting>
  <conditionalFormatting sqref="J4:BM46 J47:L47 M47:BM49 J48:K48 J49:L49 J50:BM117">
    <cfRule type="expression" dxfId="11" priority="1">
      <formula>AND(TODAY()&gt;=J$4,TODAY()&lt;K$4)</formula>
    </cfRule>
  </conditionalFormatting>
  <conditionalFormatting sqref="J7:BM46 J47:L47 M47:BM49 J48:K48 J49:L49 J50:BM116">
    <cfRule type="expression" dxfId="10" priority="12" stopIfTrue="1">
      <formula>AND($C7="Low Risk",J$4&gt;=$F7,J$4&lt;=$F7+$G7-1)</formula>
    </cfRule>
    <cfRule type="expression" dxfId="9" priority="13" stopIfTrue="1">
      <formula>AND($C7="High Risk",J$4&gt;=$F7,J$4&lt;=$F7+$G7-1)</formula>
    </cfRule>
    <cfRule type="expression" dxfId="8" priority="14" stopIfTrue="1">
      <formula>AND($C7="On Track",J$4&gt;=$F7,J$4&lt;=$F7+$G7-1)</formula>
    </cfRule>
    <cfRule type="expression" dxfId="7" priority="15" stopIfTrue="1">
      <formula>AND($C7="Med Risk",J$4&gt;=$F7,J$4&lt;=$F7+$G7-1)</formula>
    </cfRule>
    <cfRule type="expression" dxfId="6" priority="16" stopIfTrue="1">
      <formula>AND(LEN($C7)=0,J$4&gt;=$F7,J$4&lt;=$F7+$G7-1)</formula>
    </cfRule>
  </conditionalFormatting>
  <conditionalFormatting sqref="J117:BM117">
    <cfRule type="expression" dxfId="5" priority="6" stopIfTrue="1">
      <formula>AND(#REF!="Low Risk",J$4&gt;=#REF!,J$4&lt;=#REF!+#REF!-1)</formula>
    </cfRule>
    <cfRule type="expression" dxfId="4" priority="7" stopIfTrue="1">
      <formula>AND(#REF!="High Risk",J$4&gt;=#REF!,J$4&lt;=#REF!+#REF!-1)</formula>
    </cfRule>
    <cfRule type="expression" dxfId="3" priority="8" stopIfTrue="1">
      <formula>AND(#REF!="On Track",J$4&gt;=#REF!,J$4&lt;=#REF!+#REF!-1)</formula>
    </cfRule>
    <cfRule type="expression" dxfId="2" priority="9" stopIfTrue="1">
      <formula>AND(#REF!="Med Risk",J$4&gt;=#REF!,J$4&lt;=#REF!+#REF!-1)</formula>
    </cfRule>
    <cfRule type="expression" dxfId="1" priority="10" stopIfTrue="1">
      <formula>AND(LEN(#REF!)=0,J$4&gt;=#REF!,J$4&lt;=#REF!+#REF!-1)</formula>
    </cfRule>
  </conditionalFormatting>
  <conditionalFormatting sqref="K3:BM3">
    <cfRule type="expression" dxfId="0" priority="3">
      <formula>AND(K$4&lt;=EOMONTH($J$4,2),K$4&gt;EOMONTH($J$4,0),K$4&gt;EOMONTH($J$4,1))</formula>
    </cfRule>
  </conditionalFormatting>
  <dataValidations count="9">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1" xr:uid="{487AEB86-498D-4103-A8C3-2D751FCC8175}"/>
    <dataValidation allowBlank="1" showInputMessage="1" showErrorMessage="1" prompt="Enter Company Name in cell B4._x000a_A legend is in cells I4 through AC4.  The Legend label is in cell G4." sqref="A2" xr:uid="{5222A2FA-FB56-414B-88A4-C60F5BFB9E10}"/>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3" xr:uid="{98C56E9B-4717-4FAF-BEB6-4D13727C6D61}"/>
    <dataValidation allowBlank="1" showInputMessage="1" showErrorMessage="1" prompt="Cells I9 through BL9 contain the day number of the month for the Month represented in the cell block above each date cell and are auto calculated._x000a_Do not modify these cells._x000a_" sqref="A4" xr:uid="{12D35C0D-6927-47C8-8F6E-4A7048823000}"/>
    <dataValidation allowBlank="1" showInputMessage="1" showErrorMessage="1" prompt="A scrollbar is in cells I8 through BL8. _x000a_To jump forward or backward in the timeline, enter a value of 0 or higher in cell C7._x000a_A value of 0 takes you to the beginning of the chart." sqref="A5" xr:uid="{48FD2CF2-3F0F-476C-A8A5-32A04C7C7C47}"/>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6" xr:uid="{2066ACE1-6C6E-443E-836C-6C1C133255AE}"/>
    <dataValidation allowBlank="1" showInputMessage="1" showErrorMessage="1" prompt="This row marks the end of the Gantt milestone data. DO NOT enter anything in this row. _x000a_To add more items, insert new rows above this one._x000a_" sqref="A117" xr:uid="{68A11629-9656-48EB-AC7C-B968256F1D03}"/>
    <dataValidation type="whole" operator="greaterThanOrEqual" allowBlank="1" showInputMessage="1" promptTitle="Scrolling Increment" prompt="Changing this number will scroll the Gantt Chart view." sqref="C4" xr:uid="{77A44DE1-9C61-4738-B4EE-1789E0DBD914}">
      <formula1>0</formula1>
    </dataValidation>
    <dataValidation type="list" allowBlank="1" showInputMessage="1" showErrorMessage="1" sqref="C7:C116" xr:uid="{42E3ADE9-35D0-4DB1-9A7C-918743BB5366}">
      <formula1>"Goal,Milestone,On Track, Low Risk, Med Risk, High Risk"</formula1>
    </dataValidation>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Scroll Bar 1">
              <controlPr defaultSize="0" autoPict="0" altText="Scroll bar to scroll through the Ghantt project timeline.">
                <anchor moveWithCells="1">
                  <from>
                    <xdr:col>9</xdr:col>
                    <xdr:colOff>28575</xdr:colOff>
                    <xdr:row>4</xdr:row>
                    <xdr:rowOff>57150</xdr:rowOff>
                  </from>
                  <to>
                    <xdr:col>64</xdr:col>
                    <xdr:colOff>228600</xdr:colOff>
                    <xdr:row>4</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1" id="{E18BAE5A-7DB3-4577-B0C8-12277C24535C}">
            <x14:iconSet iconSet="3Stars" showValue="0" custom="1">
              <x14:cfvo type="percent">
                <xm:f>0</xm:f>
              </x14:cfvo>
              <x14:cfvo type="num">
                <xm:f>1</xm:f>
              </x14:cfvo>
              <x14:cfvo type="num">
                <xm:f>2</xm:f>
              </x14:cfvo>
              <x14:cfIcon iconSet="NoIcons" iconId="0"/>
              <x14:cfIcon iconSet="3Flags" iconId="1"/>
              <x14:cfIcon iconSet="3Signs" iconId="0"/>
            </x14:iconSet>
          </x14:cfRule>
          <xm:sqref>J7:BM46 J50:BM116 J48:K48 J49:L49 J47:L47 M47:BM49</xm:sqref>
        </x14:conditionalFormatting>
        <x14:conditionalFormatting xmlns:xm="http://schemas.microsoft.com/office/excel/2006/main">
          <x14:cfRule type="iconSet" priority="5" id="{6D2F0881-2A57-4405-9790-235F5CCEA3DE}">
            <x14:iconSet iconSet="3Stars" showValue="0" custom="1">
              <x14:cfvo type="percent">
                <xm:f>0</xm:f>
              </x14:cfvo>
              <x14:cfvo type="num">
                <xm:f>1</xm:f>
              </x14:cfvo>
              <x14:cfvo type="num">
                <xm:f>2</xm:f>
              </x14:cfvo>
              <x14:cfIcon iconSet="NoIcons" iconId="0"/>
              <x14:cfIcon iconSet="3Flags" iconId="1"/>
              <x14:cfIcon iconSet="3Signs" iconId="0"/>
            </x14:iconSet>
          </x14:cfRule>
          <xm:sqref>J117:BM117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Tiến độ thực hiện DA lần 4</vt:lpstr>
      <vt:lpstr>Tiến độ thực hiện DA lần 3</vt:lpstr>
      <vt:lpstr>'Tiến độ thực hiện DA lần 3'!Print_Titles</vt:lpstr>
      <vt:lpstr>'Tiến độ thực hiện DA lần 4'!Print_Titles</vt:lpstr>
      <vt:lpstr>'Tiến độ thực hiện DA lần 3'!Project_Start</vt:lpstr>
      <vt:lpstr>'Tiến độ thực hiện DA lần 4'!Project_Start</vt:lpstr>
      <vt:lpstr>'Tiến độ thực hiện DA lần 3'!Scrolling_Increment</vt:lpstr>
      <vt:lpstr>'Tiến độ thực hiện DA lần 4'!Scrolling_Increment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Trung</dc:creator>
  <cp:lastModifiedBy>Tran Trung</cp:lastModifiedBy>
  <dcterms:created xsi:type="dcterms:W3CDTF">2026-04-10T01:06:35Z</dcterms:created>
  <dcterms:modified xsi:type="dcterms:W3CDTF">2026-08-14T09:00:51Z</dcterms:modified>
</cp:coreProperties>
</file>